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oducts" sheetId="1" r:id="rId1"/>
    <sheet name="Suppliers" sheetId="2" r:id="rId2"/>
    <sheet name="Warehouses" sheetId="3" r:id="rId3"/>
    <sheet name="Orders" sheetId="4" r:id="rId4"/>
    <sheet name="Inventory" sheetId="5" r:id="rId5"/>
    <sheet name="Shipments" sheetId="6" r:id="rId6"/>
    <sheet name="Forecast" sheetId="8" r:id="rId7"/>
    <sheet name="KPI Calculations" sheetId="7" r:id="rId8"/>
  </sheets>
  <definedNames>
    <definedName name="_xlnm._FilterDatabase" localSheetId="4" hidden="1">Inventory!$A$1:$F$150</definedName>
    <definedName name="_xlnm._FilterDatabase" localSheetId="3" hidden="1">Orders!$A$1:$J$205</definedName>
    <definedName name="_xlnm._FilterDatabase" localSheetId="5" hidden="1">Shipments!$A$1:$L$87</definedName>
  </definedNames>
  <calcPr calcId="144525"/>
</workbook>
</file>

<file path=xl/calcChain.xml><?xml version="1.0" encoding="utf-8"?>
<calcChain xmlns="http://schemas.openxmlformats.org/spreadsheetml/2006/main">
  <c r="C15" i="7" l="1"/>
  <c r="C14" i="7"/>
  <c r="C12" i="7"/>
  <c r="C11" i="7"/>
  <c r="C10" i="7"/>
  <c r="C9" i="7"/>
  <c r="C8" i="7"/>
  <c r="B15" i="7"/>
  <c r="B14" i="7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2" i="5"/>
  <c r="B12" i="7"/>
  <c r="B7" i="7"/>
  <c r="B9" i="7" s="1"/>
  <c r="K87" i="6"/>
  <c r="L87" i="6" s="1"/>
  <c r="D87" i="6"/>
  <c r="K86" i="6"/>
  <c r="L86" i="6" s="1"/>
  <c r="D86" i="6"/>
  <c r="L85" i="6"/>
  <c r="K85" i="6"/>
  <c r="D85" i="6"/>
  <c r="K84" i="6"/>
  <c r="L84" i="6" s="1"/>
  <c r="D84" i="6"/>
  <c r="K83" i="6"/>
  <c r="L83" i="6" s="1"/>
  <c r="D83" i="6"/>
  <c r="K82" i="6"/>
  <c r="L82" i="6" s="1"/>
  <c r="D82" i="6"/>
  <c r="L81" i="6"/>
  <c r="K81" i="6"/>
  <c r="D81" i="6"/>
  <c r="K80" i="6"/>
  <c r="L80" i="6" s="1"/>
  <c r="D80" i="6"/>
  <c r="K79" i="6"/>
  <c r="L79" i="6" s="1"/>
  <c r="D79" i="6"/>
  <c r="K78" i="6"/>
  <c r="L78" i="6" s="1"/>
  <c r="D78" i="6"/>
  <c r="L77" i="6"/>
  <c r="K77" i="6"/>
  <c r="D77" i="6"/>
  <c r="K76" i="6"/>
  <c r="L76" i="6" s="1"/>
  <c r="D76" i="6"/>
  <c r="K75" i="6"/>
  <c r="L75" i="6" s="1"/>
  <c r="D75" i="6"/>
  <c r="L74" i="6"/>
  <c r="K74" i="6"/>
  <c r="D74" i="6"/>
  <c r="L73" i="6"/>
  <c r="K73" i="6"/>
  <c r="D73" i="6"/>
  <c r="K72" i="6"/>
  <c r="L72" i="6" s="1"/>
  <c r="D72" i="6"/>
  <c r="K71" i="6"/>
  <c r="L71" i="6" s="1"/>
  <c r="D71" i="6"/>
  <c r="L70" i="6"/>
  <c r="K70" i="6"/>
  <c r="D70" i="6"/>
  <c r="L69" i="6"/>
  <c r="K69" i="6"/>
  <c r="D69" i="6"/>
  <c r="K68" i="6"/>
  <c r="L68" i="6" s="1"/>
  <c r="D68" i="6"/>
  <c r="K67" i="6"/>
  <c r="L67" i="6" s="1"/>
  <c r="D67" i="6"/>
  <c r="L66" i="6"/>
  <c r="K66" i="6"/>
  <c r="D66" i="6"/>
  <c r="L65" i="6"/>
  <c r="K65" i="6"/>
  <c r="D65" i="6"/>
  <c r="K64" i="6"/>
  <c r="L64" i="6" s="1"/>
  <c r="D64" i="6"/>
  <c r="K63" i="6"/>
  <c r="L63" i="6" s="1"/>
  <c r="D63" i="6"/>
  <c r="L62" i="6"/>
  <c r="K62" i="6"/>
  <c r="D62" i="6"/>
  <c r="L61" i="6"/>
  <c r="K61" i="6"/>
  <c r="D61" i="6"/>
  <c r="K60" i="6"/>
  <c r="L60" i="6" s="1"/>
  <c r="D60" i="6"/>
  <c r="L59" i="6"/>
  <c r="K59" i="6"/>
  <c r="D59" i="6"/>
  <c r="L58" i="6"/>
  <c r="K58" i="6"/>
  <c r="D58" i="6"/>
  <c r="L57" i="6"/>
  <c r="K57" i="6"/>
  <c r="D57" i="6"/>
  <c r="K56" i="6"/>
  <c r="L56" i="6" s="1"/>
  <c r="D56" i="6"/>
  <c r="L55" i="6"/>
  <c r="K55" i="6"/>
  <c r="D55" i="6"/>
  <c r="L54" i="6"/>
  <c r="K54" i="6"/>
  <c r="D54" i="6"/>
  <c r="L53" i="6"/>
  <c r="K53" i="6"/>
  <c r="D53" i="6"/>
  <c r="K52" i="6"/>
  <c r="L52" i="6" s="1"/>
  <c r="D52" i="6"/>
  <c r="L51" i="6"/>
  <c r="K51" i="6"/>
  <c r="D51" i="6"/>
  <c r="L50" i="6"/>
  <c r="K50" i="6"/>
  <c r="D50" i="6"/>
  <c r="L49" i="6"/>
  <c r="K49" i="6"/>
  <c r="D49" i="6"/>
  <c r="K48" i="6"/>
  <c r="L48" i="6" s="1"/>
  <c r="D48" i="6"/>
  <c r="L47" i="6"/>
  <c r="K47" i="6"/>
  <c r="D47" i="6"/>
  <c r="L46" i="6"/>
  <c r="K46" i="6"/>
  <c r="D46" i="6"/>
  <c r="L45" i="6"/>
  <c r="K45" i="6"/>
  <c r="D45" i="6"/>
  <c r="K44" i="6"/>
  <c r="L44" i="6" s="1"/>
  <c r="D44" i="6"/>
  <c r="L43" i="6"/>
  <c r="K43" i="6"/>
  <c r="D43" i="6"/>
  <c r="L42" i="6"/>
  <c r="K42" i="6"/>
  <c r="D42" i="6"/>
  <c r="K41" i="6"/>
  <c r="L41" i="6" s="1"/>
  <c r="D41" i="6"/>
  <c r="K40" i="6"/>
  <c r="L40" i="6" s="1"/>
  <c r="D40" i="6"/>
  <c r="L39" i="6"/>
  <c r="K39" i="6"/>
  <c r="D39" i="6"/>
  <c r="L38" i="6"/>
  <c r="K38" i="6"/>
  <c r="D38" i="6"/>
  <c r="K37" i="6"/>
  <c r="L37" i="6" s="1"/>
  <c r="D37" i="6"/>
  <c r="K36" i="6"/>
  <c r="L36" i="6" s="1"/>
  <c r="D36" i="6"/>
  <c r="L35" i="6"/>
  <c r="K35" i="6"/>
  <c r="D35" i="6"/>
  <c r="L34" i="6"/>
  <c r="K34" i="6"/>
  <c r="D34" i="6"/>
  <c r="K33" i="6"/>
  <c r="L33" i="6" s="1"/>
  <c r="D33" i="6"/>
  <c r="K32" i="6"/>
  <c r="L32" i="6" s="1"/>
  <c r="D32" i="6"/>
  <c r="L31" i="6"/>
  <c r="K31" i="6"/>
  <c r="D31" i="6"/>
  <c r="L30" i="6"/>
  <c r="K30" i="6"/>
  <c r="D30" i="6"/>
  <c r="K29" i="6"/>
  <c r="L29" i="6" s="1"/>
  <c r="D29" i="6"/>
  <c r="K28" i="6"/>
  <c r="L28" i="6" s="1"/>
  <c r="D28" i="6"/>
  <c r="K27" i="6"/>
  <c r="L27" i="6" s="1"/>
  <c r="D27" i="6"/>
  <c r="L26" i="6"/>
  <c r="K26" i="6"/>
  <c r="D26" i="6"/>
  <c r="K25" i="6"/>
  <c r="L25" i="6" s="1"/>
  <c r="D25" i="6"/>
  <c r="K24" i="6"/>
  <c r="L24" i="6" s="1"/>
  <c r="D24" i="6"/>
  <c r="K23" i="6"/>
  <c r="L23" i="6" s="1"/>
  <c r="D23" i="6"/>
  <c r="L22" i="6"/>
  <c r="K22" i="6"/>
  <c r="D22" i="6"/>
  <c r="K21" i="6"/>
  <c r="L21" i="6" s="1"/>
  <c r="D21" i="6"/>
  <c r="K20" i="6"/>
  <c r="L20" i="6" s="1"/>
  <c r="D20" i="6"/>
  <c r="K19" i="6"/>
  <c r="L19" i="6" s="1"/>
  <c r="D19" i="6"/>
  <c r="L18" i="6"/>
  <c r="K18" i="6"/>
  <c r="D18" i="6"/>
  <c r="K17" i="6"/>
  <c r="L17" i="6" s="1"/>
  <c r="D17" i="6"/>
  <c r="K16" i="6"/>
  <c r="L16" i="6" s="1"/>
  <c r="D16" i="6"/>
  <c r="K15" i="6"/>
  <c r="L15" i="6" s="1"/>
  <c r="D15" i="6"/>
  <c r="L14" i="6"/>
  <c r="K14" i="6"/>
  <c r="D14" i="6"/>
  <c r="K13" i="6"/>
  <c r="L13" i="6" s="1"/>
  <c r="D13" i="6"/>
  <c r="L12" i="6"/>
  <c r="K12" i="6"/>
  <c r="D12" i="6"/>
  <c r="K11" i="6"/>
  <c r="L11" i="6" s="1"/>
  <c r="D11" i="6"/>
  <c r="L10" i="6"/>
  <c r="K10" i="6"/>
  <c r="D10" i="6"/>
  <c r="K9" i="6"/>
  <c r="L9" i="6" s="1"/>
  <c r="D9" i="6"/>
  <c r="L8" i="6"/>
  <c r="K8" i="6"/>
  <c r="D8" i="6"/>
  <c r="K7" i="6"/>
  <c r="L7" i="6" s="1"/>
  <c r="D7" i="6"/>
  <c r="L6" i="6"/>
  <c r="K6" i="6"/>
  <c r="D6" i="6"/>
  <c r="K5" i="6"/>
  <c r="L5" i="6" s="1"/>
  <c r="D5" i="6"/>
  <c r="L4" i="6"/>
  <c r="K4" i="6"/>
  <c r="D4" i="6"/>
  <c r="K3" i="6"/>
  <c r="L3" i="6" s="1"/>
  <c r="D3" i="6"/>
  <c r="L2" i="6"/>
  <c r="K2" i="6"/>
  <c r="D2" i="6"/>
  <c r="J205" i="4"/>
  <c r="H205" i="4"/>
  <c r="I205" i="4" s="1"/>
  <c r="F205" i="4"/>
  <c r="E205" i="4"/>
  <c r="C205" i="4"/>
  <c r="A205" i="4"/>
  <c r="J204" i="4"/>
  <c r="H204" i="4"/>
  <c r="I204" i="4" s="1"/>
  <c r="F204" i="4"/>
  <c r="E204" i="4"/>
  <c r="C204" i="4"/>
  <c r="A204" i="4"/>
  <c r="J203" i="4"/>
  <c r="H203" i="4"/>
  <c r="I203" i="4" s="1"/>
  <c r="F203" i="4"/>
  <c r="E203" i="4"/>
  <c r="C203" i="4"/>
  <c r="A203" i="4"/>
  <c r="J202" i="4"/>
  <c r="H202" i="4"/>
  <c r="I202" i="4" s="1"/>
  <c r="F202" i="4"/>
  <c r="E202" i="4"/>
  <c r="C202" i="4"/>
  <c r="A202" i="4"/>
  <c r="J201" i="4"/>
  <c r="H201" i="4"/>
  <c r="I201" i="4" s="1"/>
  <c r="F201" i="4"/>
  <c r="E201" i="4"/>
  <c r="C201" i="4"/>
  <c r="A201" i="4"/>
  <c r="J200" i="4"/>
  <c r="H200" i="4"/>
  <c r="I200" i="4" s="1"/>
  <c r="F200" i="4"/>
  <c r="E200" i="4"/>
  <c r="C200" i="4"/>
  <c r="A200" i="4"/>
  <c r="J199" i="4"/>
  <c r="H199" i="4"/>
  <c r="I199" i="4" s="1"/>
  <c r="F199" i="4"/>
  <c r="E199" i="4"/>
  <c r="C199" i="4"/>
  <c r="A199" i="4"/>
  <c r="J198" i="4"/>
  <c r="H198" i="4"/>
  <c r="I198" i="4" s="1"/>
  <c r="F198" i="4"/>
  <c r="E198" i="4"/>
  <c r="C198" i="4"/>
  <c r="A198" i="4"/>
  <c r="J197" i="4"/>
  <c r="H197" i="4"/>
  <c r="I197" i="4" s="1"/>
  <c r="F197" i="4"/>
  <c r="E197" i="4"/>
  <c r="C197" i="4"/>
  <c r="A197" i="4"/>
  <c r="J196" i="4"/>
  <c r="H196" i="4"/>
  <c r="I196" i="4" s="1"/>
  <c r="F196" i="4"/>
  <c r="E196" i="4"/>
  <c r="C196" i="4"/>
  <c r="A196" i="4"/>
  <c r="J195" i="4"/>
  <c r="H195" i="4"/>
  <c r="I195" i="4" s="1"/>
  <c r="F195" i="4"/>
  <c r="E195" i="4"/>
  <c r="C195" i="4"/>
  <c r="A195" i="4"/>
  <c r="J194" i="4"/>
  <c r="H194" i="4"/>
  <c r="I194" i="4" s="1"/>
  <c r="F194" i="4"/>
  <c r="E194" i="4"/>
  <c r="C194" i="4"/>
  <c r="A194" i="4"/>
  <c r="J193" i="4"/>
  <c r="H193" i="4"/>
  <c r="I193" i="4" s="1"/>
  <c r="F193" i="4"/>
  <c r="E193" i="4"/>
  <c r="C193" i="4"/>
  <c r="A193" i="4"/>
  <c r="J192" i="4"/>
  <c r="H192" i="4"/>
  <c r="I192" i="4" s="1"/>
  <c r="F192" i="4"/>
  <c r="E192" i="4"/>
  <c r="C192" i="4"/>
  <c r="A192" i="4"/>
  <c r="J191" i="4"/>
  <c r="H191" i="4"/>
  <c r="I191" i="4" s="1"/>
  <c r="F191" i="4"/>
  <c r="E191" i="4"/>
  <c r="C191" i="4"/>
  <c r="A191" i="4"/>
  <c r="J190" i="4"/>
  <c r="H190" i="4"/>
  <c r="I190" i="4" s="1"/>
  <c r="F190" i="4"/>
  <c r="E190" i="4"/>
  <c r="C190" i="4"/>
  <c r="A190" i="4"/>
  <c r="J189" i="4"/>
  <c r="H189" i="4"/>
  <c r="I189" i="4" s="1"/>
  <c r="F189" i="4"/>
  <c r="E189" i="4"/>
  <c r="C189" i="4"/>
  <c r="A189" i="4"/>
  <c r="J188" i="4"/>
  <c r="H188" i="4"/>
  <c r="I188" i="4" s="1"/>
  <c r="F188" i="4"/>
  <c r="E188" i="4"/>
  <c r="C188" i="4"/>
  <c r="A188" i="4"/>
  <c r="J187" i="4"/>
  <c r="H187" i="4"/>
  <c r="I187" i="4" s="1"/>
  <c r="F187" i="4"/>
  <c r="E187" i="4"/>
  <c r="C187" i="4"/>
  <c r="A187" i="4"/>
  <c r="J186" i="4"/>
  <c r="H186" i="4"/>
  <c r="I186" i="4" s="1"/>
  <c r="F186" i="4"/>
  <c r="E186" i="4"/>
  <c r="C186" i="4"/>
  <c r="A186" i="4"/>
  <c r="J185" i="4"/>
  <c r="H185" i="4"/>
  <c r="I185" i="4" s="1"/>
  <c r="F185" i="4"/>
  <c r="E185" i="4"/>
  <c r="C185" i="4"/>
  <c r="A185" i="4"/>
  <c r="J184" i="4"/>
  <c r="H184" i="4"/>
  <c r="I184" i="4" s="1"/>
  <c r="F184" i="4"/>
  <c r="E184" i="4"/>
  <c r="C184" i="4"/>
  <c r="A184" i="4"/>
  <c r="J183" i="4"/>
  <c r="H183" i="4"/>
  <c r="I183" i="4" s="1"/>
  <c r="F183" i="4"/>
  <c r="E183" i="4"/>
  <c r="C183" i="4"/>
  <c r="A183" i="4"/>
  <c r="J182" i="4"/>
  <c r="H182" i="4"/>
  <c r="I182" i="4" s="1"/>
  <c r="F182" i="4"/>
  <c r="E182" i="4"/>
  <c r="C182" i="4"/>
  <c r="A182" i="4"/>
  <c r="J181" i="4"/>
  <c r="H181" i="4"/>
  <c r="I181" i="4" s="1"/>
  <c r="F181" i="4"/>
  <c r="E181" i="4"/>
  <c r="C181" i="4"/>
  <c r="A181" i="4"/>
  <c r="J180" i="4"/>
  <c r="H180" i="4"/>
  <c r="I180" i="4" s="1"/>
  <c r="F180" i="4"/>
  <c r="E180" i="4"/>
  <c r="C180" i="4"/>
  <c r="A180" i="4"/>
  <c r="J179" i="4"/>
  <c r="H179" i="4"/>
  <c r="I179" i="4" s="1"/>
  <c r="F179" i="4"/>
  <c r="E179" i="4"/>
  <c r="C179" i="4"/>
  <c r="A179" i="4"/>
  <c r="J178" i="4"/>
  <c r="H178" i="4"/>
  <c r="I178" i="4" s="1"/>
  <c r="F178" i="4"/>
  <c r="E178" i="4"/>
  <c r="C178" i="4"/>
  <c r="A178" i="4"/>
  <c r="J177" i="4"/>
  <c r="H177" i="4"/>
  <c r="I177" i="4" s="1"/>
  <c r="F177" i="4"/>
  <c r="E177" i="4"/>
  <c r="C177" i="4"/>
  <c r="A177" i="4"/>
  <c r="J176" i="4"/>
  <c r="H176" i="4"/>
  <c r="I176" i="4" s="1"/>
  <c r="F176" i="4"/>
  <c r="E176" i="4"/>
  <c r="C176" i="4"/>
  <c r="A176" i="4"/>
  <c r="J175" i="4"/>
  <c r="H175" i="4"/>
  <c r="I175" i="4" s="1"/>
  <c r="F175" i="4"/>
  <c r="E175" i="4"/>
  <c r="C175" i="4"/>
  <c r="A175" i="4"/>
  <c r="J174" i="4"/>
  <c r="H174" i="4"/>
  <c r="I174" i="4" s="1"/>
  <c r="F174" i="4"/>
  <c r="E174" i="4"/>
  <c r="C174" i="4"/>
  <c r="A174" i="4"/>
  <c r="J173" i="4"/>
  <c r="H173" i="4"/>
  <c r="I173" i="4" s="1"/>
  <c r="F173" i="4"/>
  <c r="E173" i="4"/>
  <c r="C173" i="4"/>
  <c r="A173" i="4"/>
  <c r="J172" i="4"/>
  <c r="H172" i="4"/>
  <c r="I172" i="4" s="1"/>
  <c r="F172" i="4"/>
  <c r="E172" i="4"/>
  <c r="C172" i="4"/>
  <c r="A172" i="4"/>
  <c r="J171" i="4"/>
  <c r="H171" i="4"/>
  <c r="I171" i="4" s="1"/>
  <c r="F171" i="4"/>
  <c r="E171" i="4"/>
  <c r="C171" i="4"/>
  <c r="A171" i="4"/>
  <c r="J170" i="4"/>
  <c r="H170" i="4"/>
  <c r="I170" i="4" s="1"/>
  <c r="F170" i="4"/>
  <c r="E170" i="4"/>
  <c r="C170" i="4"/>
  <c r="A170" i="4"/>
  <c r="J169" i="4"/>
  <c r="H169" i="4"/>
  <c r="I169" i="4" s="1"/>
  <c r="F169" i="4"/>
  <c r="E169" i="4"/>
  <c r="C169" i="4"/>
  <c r="A169" i="4"/>
  <c r="J168" i="4"/>
  <c r="H168" i="4"/>
  <c r="I168" i="4" s="1"/>
  <c r="F168" i="4"/>
  <c r="E168" i="4"/>
  <c r="C168" i="4"/>
  <c r="A168" i="4"/>
  <c r="J167" i="4"/>
  <c r="H167" i="4"/>
  <c r="I167" i="4" s="1"/>
  <c r="F167" i="4"/>
  <c r="E167" i="4"/>
  <c r="C167" i="4"/>
  <c r="A167" i="4"/>
  <c r="J166" i="4"/>
  <c r="H166" i="4"/>
  <c r="I166" i="4" s="1"/>
  <c r="F166" i="4"/>
  <c r="E166" i="4"/>
  <c r="C166" i="4"/>
  <c r="A166" i="4"/>
  <c r="J165" i="4"/>
  <c r="H165" i="4"/>
  <c r="I165" i="4" s="1"/>
  <c r="F165" i="4"/>
  <c r="E165" i="4"/>
  <c r="C165" i="4"/>
  <c r="A165" i="4"/>
  <c r="J164" i="4"/>
  <c r="H164" i="4"/>
  <c r="I164" i="4" s="1"/>
  <c r="F164" i="4"/>
  <c r="E164" i="4"/>
  <c r="C164" i="4"/>
  <c r="A164" i="4"/>
  <c r="J163" i="4"/>
  <c r="H163" i="4"/>
  <c r="I163" i="4" s="1"/>
  <c r="F163" i="4"/>
  <c r="E163" i="4"/>
  <c r="C163" i="4"/>
  <c r="A163" i="4"/>
  <c r="J162" i="4"/>
  <c r="H162" i="4"/>
  <c r="I162" i="4" s="1"/>
  <c r="F162" i="4"/>
  <c r="E162" i="4"/>
  <c r="C162" i="4"/>
  <c r="A162" i="4"/>
  <c r="J161" i="4"/>
  <c r="H161" i="4"/>
  <c r="I161" i="4" s="1"/>
  <c r="F161" i="4"/>
  <c r="E161" i="4"/>
  <c r="C161" i="4"/>
  <c r="A161" i="4"/>
  <c r="J160" i="4"/>
  <c r="I160" i="4"/>
  <c r="H160" i="4"/>
  <c r="F160" i="4"/>
  <c r="E160" i="4"/>
  <c r="C160" i="4"/>
  <c r="A160" i="4"/>
  <c r="J159" i="4"/>
  <c r="H159" i="4"/>
  <c r="I159" i="4" s="1"/>
  <c r="F159" i="4"/>
  <c r="E159" i="4"/>
  <c r="C159" i="4"/>
  <c r="A159" i="4"/>
  <c r="J158" i="4"/>
  <c r="H158" i="4"/>
  <c r="I158" i="4" s="1"/>
  <c r="F158" i="4"/>
  <c r="E158" i="4"/>
  <c r="C158" i="4"/>
  <c r="A158" i="4"/>
  <c r="J157" i="4"/>
  <c r="H157" i="4"/>
  <c r="I157" i="4" s="1"/>
  <c r="F157" i="4"/>
  <c r="E157" i="4"/>
  <c r="C157" i="4"/>
  <c r="A157" i="4"/>
  <c r="J156" i="4"/>
  <c r="H156" i="4"/>
  <c r="I156" i="4" s="1"/>
  <c r="F156" i="4"/>
  <c r="E156" i="4"/>
  <c r="C156" i="4"/>
  <c r="A156" i="4"/>
  <c r="J155" i="4"/>
  <c r="H155" i="4"/>
  <c r="I155" i="4" s="1"/>
  <c r="F155" i="4"/>
  <c r="E155" i="4"/>
  <c r="C155" i="4"/>
  <c r="A155" i="4"/>
  <c r="J154" i="4"/>
  <c r="H154" i="4"/>
  <c r="I154" i="4" s="1"/>
  <c r="F154" i="4"/>
  <c r="E154" i="4"/>
  <c r="C154" i="4"/>
  <c r="A154" i="4"/>
  <c r="J153" i="4"/>
  <c r="H153" i="4"/>
  <c r="I153" i="4" s="1"/>
  <c r="F153" i="4"/>
  <c r="E153" i="4"/>
  <c r="C153" i="4"/>
  <c r="A153" i="4"/>
  <c r="J152" i="4"/>
  <c r="H152" i="4"/>
  <c r="I152" i="4" s="1"/>
  <c r="F152" i="4"/>
  <c r="E152" i="4"/>
  <c r="C152" i="4"/>
  <c r="A152" i="4"/>
  <c r="J151" i="4"/>
  <c r="H151" i="4"/>
  <c r="I151" i="4" s="1"/>
  <c r="F151" i="4"/>
  <c r="E151" i="4"/>
  <c r="C151" i="4"/>
  <c r="A151" i="4"/>
  <c r="J150" i="4"/>
  <c r="H150" i="4"/>
  <c r="I150" i="4" s="1"/>
  <c r="F150" i="4"/>
  <c r="E150" i="4"/>
  <c r="C150" i="4"/>
  <c r="A150" i="4"/>
  <c r="J149" i="4"/>
  <c r="H149" i="4"/>
  <c r="I149" i="4" s="1"/>
  <c r="F149" i="4"/>
  <c r="E149" i="4"/>
  <c r="C149" i="4"/>
  <c r="A149" i="4"/>
  <c r="J148" i="4"/>
  <c r="H148" i="4"/>
  <c r="I148" i="4" s="1"/>
  <c r="F148" i="4"/>
  <c r="E148" i="4"/>
  <c r="C148" i="4"/>
  <c r="A148" i="4"/>
  <c r="J147" i="4"/>
  <c r="H147" i="4"/>
  <c r="I147" i="4" s="1"/>
  <c r="F147" i="4"/>
  <c r="E147" i="4"/>
  <c r="C147" i="4"/>
  <c r="A147" i="4"/>
  <c r="J146" i="4"/>
  <c r="H146" i="4"/>
  <c r="I146" i="4" s="1"/>
  <c r="F146" i="4"/>
  <c r="E146" i="4"/>
  <c r="C146" i="4"/>
  <c r="A146" i="4"/>
  <c r="J145" i="4"/>
  <c r="H145" i="4"/>
  <c r="I145" i="4" s="1"/>
  <c r="F145" i="4"/>
  <c r="E145" i="4"/>
  <c r="C145" i="4"/>
  <c r="A145" i="4"/>
  <c r="J144" i="4"/>
  <c r="H144" i="4"/>
  <c r="I144" i="4" s="1"/>
  <c r="F144" i="4"/>
  <c r="E144" i="4"/>
  <c r="C144" i="4"/>
  <c r="A144" i="4"/>
  <c r="J143" i="4"/>
  <c r="H143" i="4"/>
  <c r="I143" i="4" s="1"/>
  <c r="F143" i="4"/>
  <c r="E143" i="4"/>
  <c r="C143" i="4"/>
  <c r="A143" i="4"/>
  <c r="J142" i="4"/>
  <c r="H142" i="4"/>
  <c r="I142" i="4" s="1"/>
  <c r="F142" i="4"/>
  <c r="E142" i="4"/>
  <c r="C142" i="4"/>
  <c r="A142" i="4"/>
  <c r="J141" i="4"/>
  <c r="H141" i="4"/>
  <c r="I141" i="4" s="1"/>
  <c r="F141" i="4"/>
  <c r="E141" i="4"/>
  <c r="C141" i="4"/>
  <c r="A141" i="4"/>
  <c r="J140" i="4"/>
  <c r="H140" i="4"/>
  <c r="I140" i="4" s="1"/>
  <c r="F140" i="4"/>
  <c r="E140" i="4"/>
  <c r="C140" i="4"/>
  <c r="A140" i="4"/>
  <c r="J139" i="4"/>
  <c r="H139" i="4"/>
  <c r="I139" i="4" s="1"/>
  <c r="F139" i="4"/>
  <c r="E139" i="4"/>
  <c r="C139" i="4"/>
  <c r="A139" i="4"/>
  <c r="J138" i="4"/>
  <c r="H138" i="4"/>
  <c r="I138" i="4" s="1"/>
  <c r="F138" i="4"/>
  <c r="E138" i="4"/>
  <c r="C138" i="4"/>
  <c r="A138" i="4"/>
  <c r="J137" i="4"/>
  <c r="H137" i="4"/>
  <c r="I137" i="4" s="1"/>
  <c r="F137" i="4"/>
  <c r="E137" i="4"/>
  <c r="C137" i="4"/>
  <c r="A137" i="4"/>
  <c r="J136" i="4"/>
  <c r="H136" i="4"/>
  <c r="I136" i="4" s="1"/>
  <c r="F136" i="4"/>
  <c r="E136" i="4"/>
  <c r="C136" i="4"/>
  <c r="A136" i="4"/>
  <c r="J135" i="4"/>
  <c r="H135" i="4"/>
  <c r="I135" i="4" s="1"/>
  <c r="F135" i="4"/>
  <c r="E135" i="4"/>
  <c r="C135" i="4"/>
  <c r="A135" i="4"/>
  <c r="J134" i="4"/>
  <c r="H134" i="4"/>
  <c r="I134" i="4" s="1"/>
  <c r="F134" i="4"/>
  <c r="E134" i="4"/>
  <c r="C134" i="4"/>
  <c r="A134" i="4"/>
  <c r="J133" i="4"/>
  <c r="H133" i="4"/>
  <c r="I133" i="4" s="1"/>
  <c r="F133" i="4"/>
  <c r="E133" i="4"/>
  <c r="C133" i="4"/>
  <c r="A133" i="4"/>
  <c r="J132" i="4"/>
  <c r="H132" i="4"/>
  <c r="I132" i="4" s="1"/>
  <c r="F132" i="4"/>
  <c r="E132" i="4"/>
  <c r="C132" i="4"/>
  <c r="A132" i="4"/>
  <c r="J131" i="4"/>
  <c r="H131" i="4"/>
  <c r="I131" i="4" s="1"/>
  <c r="F131" i="4"/>
  <c r="E131" i="4"/>
  <c r="C131" i="4"/>
  <c r="A131" i="4"/>
  <c r="J130" i="4"/>
  <c r="H130" i="4"/>
  <c r="I130" i="4" s="1"/>
  <c r="F130" i="4"/>
  <c r="E130" i="4"/>
  <c r="C130" i="4"/>
  <c r="A130" i="4"/>
  <c r="J129" i="4"/>
  <c r="H129" i="4"/>
  <c r="I129" i="4" s="1"/>
  <c r="F129" i="4"/>
  <c r="E129" i="4"/>
  <c r="C129" i="4"/>
  <c r="A129" i="4"/>
  <c r="J128" i="4"/>
  <c r="H128" i="4"/>
  <c r="I128" i="4" s="1"/>
  <c r="F128" i="4"/>
  <c r="E128" i="4"/>
  <c r="C128" i="4"/>
  <c r="A128" i="4"/>
  <c r="J127" i="4"/>
  <c r="H127" i="4"/>
  <c r="I127" i="4" s="1"/>
  <c r="F127" i="4"/>
  <c r="E127" i="4"/>
  <c r="C127" i="4"/>
  <c r="A127" i="4"/>
  <c r="J126" i="4"/>
  <c r="H126" i="4"/>
  <c r="I126" i="4" s="1"/>
  <c r="F126" i="4"/>
  <c r="E126" i="4"/>
  <c r="C126" i="4"/>
  <c r="A126" i="4"/>
  <c r="J125" i="4"/>
  <c r="H125" i="4"/>
  <c r="I125" i="4" s="1"/>
  <c r="F125" i="4"/>
  <c r="E125" i="4"/>
  <c r="C125" i="4"/>
  <c r="A125" i="4"/>
  <c r="J124" i="4"/>
  <c r="H124" i="4"/>
  <c r="I124" i="4" s="1"/>
  <c r="F124" i="4"/>
  <c r="E124" i="4"/>
  <c r="C124" i="4"/>
  <c r="A124" i="4"/>
  <c r="J123" i="4"/>
  <c r="H123" i="4"/>
  <c r="I123" i="4" s="1"/>
  <c r="F123" i="4"/>
  <c r="E123" i="4"/>
  <c r="C123" i="4"/>
  <c r="A123" i="4"/>
  <c r="J122" i="4"/>
  <c r="H122" i="4"/>
  <c r="I122" i="4" s="1"/>
  <c r="F122" i="4"/>
  <c r="E122" i="4"/>
  <c r="C122" i="4"/>
  <c r="A122" i="4"/>
  <c r="J121" i="4"/>
  <c r="H121" i="4"/>
  <c r="I121" i="4" s="1"/>
  <c r="F121" i="4"/>
  <c r="E121" i="4"/>
  <c r="C121" i="4"/>
  <c r="A121" i="4"/>
  <c r="J120" i="4"/>
  <c r="H120" i="4"/>
  <c r="I120" i="4" s="1"/>
  <c r="F120" i="4"/>
  <c r="E120" i="4"/>
  <c r="C120" i="4"/>
  <c r="A120" i="4"/>
  <c r="J119" i="4"/>
  <c r="H119" i="4"/>
  <c r="I119" i="4" s="1"/>
  <c r="F119" i="4"/>
  <c r="E119" i="4"/>
  <c r="C119" i="4"/>
  <c r="A119" i="4"/>
  <c r="J118" i="4"/>
  <c r="H118" i="4"/>
  <c r="I118" i="4" s="1"/>
  <c r="F118" i="4"/>
  <c r="E118" i="4"/>
  <c r="C118" i="4"/>
  <c r="A118" i="4"/>
  <c r="J117" i="4"/>
  <c r="H117" i="4"/>
  <c r="I117" i="4" s="1"/>
  <c r="F117" i="4"/>
  <c r="E117" i="4"/>
  <c r="C117" i="4"/>
  <c r="A117" i="4"/>
  <c r="J116" i="4"/>
  <c r="H116" i="4"/>
  <c r="I116" i="4" s="1"/>
  <c r="F116" i="4"/>
  <c r="E116" i="4"/>
  <c r="C116" i="4"/>
  <c r="A116" i="4"/>
  <c r="J115" i="4"/>
  <c r="H115" i="4"/>
  <c r="I115" i="4" s="1"/>
  <c r="F115" i="4"/>
  <c r="E115" i="4"/>
  <c r="C115" i="4"/>
  <c r="A115" i="4"/>
  <c r="J114" i="4"/>
  <c r="H114" i="4"/>
  <c r="I114" i="4" s="1"/>
  <c r="F114" i="4"/>
  <c r="E114" i="4"/>
  <c r="C114" i="4"/>
  <c r="A114" i="4"/>
  <c r="J113" i="4"/>
  <c r="H113" i="4"/>
  <c r="I113" i="4" s="1"/>
  <c r="F113" i="4"/>
  <c r="E113" i="4"/>
  <c r="C113" i="4"/>
  <c r="A113" i="4"/>
  <c r="J112" i="4"/>
  <c r="H112" i="4"/>
  <c r="I112" i="4" s="1"/>
  <c r="F112" i="4"/>
  <c r="E112" i="4"/>
  <c r="C112" i="4"/>
  <c r="A112" i="4"/>
  <c r="J111" i="4"/>
  <c r="H111" i="4"/>
  <c r="I111" i="4" s="1"/>
  <c r="F111" i="4"/>
  <c r="E111" i="4"/>
  <c r="C111" i="4"/>
  <c r="A111" i="4"/>
  <c r="J110" i="4"/>
  <c r="H110" i="4"/>
  <c r="I110" i="4" s="1"/>
  <c r="F110" i="4"/>
  <c r="E110" i="4"/>
  <c r="C110" i="4"/>
  <c r="A110" i="4"/>
  <c r="J109" i="4"/>
  <c r="H109" i="4"/>
  <c r="I109" i="4" s="1"/>
  <c r="F109" i="4"/>
  <c r="E109" i="4"/>
  <c r="C109" i="4"/>
  <c r="A109" i="4"/>
  <c r="J108" i="4"/>
  <c r="H108" i="4"/>
  <c r="I108" i="4" s="1"/>
  <c r="F108" i="4"/>
  <c r="E108" i="4"/>
  <c r="C108" i="4"/>
  <c r="A108" i="4"/>
  <c r="J107" i="4"/>
  <c r="H107" i="4"/>
  <c r="I107" i="4" s="1"/>
  <c r="F107" i="4"/>
  <c r="E107" i="4"/>
  <c r="C107" i="4"/>
  <c r="A107" i="4"/>
  <c r="J106" i="4"/>
  <c r="H106" i="4"/>
  <c r="I106" i="4" s="1"/>
  <c r="F106" i="4"/>
  <c r="E106" i="4"/>
  <c r="C106" i="4"/>
  <c r="A106" i="4"/>
  <c r="J105" i="4"/>
  <c r="H105" i="4"/>
  <c r="I105" i="4" s="1"/>
  <c r="F105" i="4"/>
  <c r="E105" i="4"/>
  <c r="C105" i="4"/>
  <c r="A105" i="4"/>
  <c r="J104" i="4"/>
  <c r="H104" i="4"/>
  <c r="I104" i="4" s="1"/>
  <c r="F104" i="4"/>
  <c r="E104" i="4"/>
  <c r="C104" i="4"/>
  <c r="A104" i="4"/>
  <c r="J103" i="4"/>
  <c r="H103" i="4"/>
  <c r="I103" i="4" s="1"/>
  <c r="F103" i="4"/>
  <c r="E103" i="4"/>
  <c r="C103" i="4"/>
  <c r="A103" i="4"/>
  <c r="J102" i="4"/>
  <c r="H102" i="4"/>
  <c r="I102" i="4" s="1"/>
  <c r="F102" i="4"/>
  <c r="E102" i="4"/>
  <c r="C102" i="4"/>
  <c r="A102" i="4"/>
  <c r="J101" i="4"/>
  <c r="H101" i="4"/>
  <c r="I101" i="4" s="1"/>
  <c r="F101" i="4"/>
  <c r="E101" i="4"/>
  <c r="C101" i="4"/>
  <c r="A101" i="4"/>
  <c r="J100" i="4"/>
  <c r="H100" i="4"/>
  <c r="I100" i="4" s="1"/>
  <c r="F100" i="4"/>
  <c r="E100" i="4"/>
  <c r="C100" i="4"/>
  <c r="A100" i="4"/>
  <c r="J99" i="4"/>
  <c r="H99" i="4"/>
  <c r="I99" i="4" s="1"/>
  <c r="F99" i="4"/>
  <c r="E99" i="4"/>
  <c r="C99" i="4"/>
  <c r="A99" i="4"/>
  <c r="J98" i="4"/>
  <c r="H98" i="4"/>
  <c r="I98" i="4" s="1"/>
  <c r="F98" i="4"/>
  <c r="E98" i="4"/>
  <c r="C98" i="4"/>
  <c r="A98" i="4"/>
  <c r="J97" i="4"/>
  <c r="H97" i="4"/>
  <c r="I97" i="4" s="1"/>
  <c r="F97" i="4"/>
  <c r="E97" i="4"/>
  <c r="C97" i="4"/>
  <c r="A97" i="4"/>
  <c r="J96" i="4"/>
  <c r="H96" i="4"/>
  <c r="I96" i="4" s="1"/>
  <c r="F96" i="4"/>
  <c r="E96" i="4"/>
  <c r="C96" i="4"/>
  <c r="A96" i="4"/>
  <c r="J95" i="4"/>
  <c r="H95" i="4"/>
  <c r="I95" i="4" s="1"/>
  <c r="F95" i="4"/>
  <c r="E95" i="4"/>
  <c r="C95" i="4"/>
  <c r="A95" i="4"/>
  <c r="J94" i="4"/>
  <c r="H94" i="4"/>
  <c r="I94" i="4" s="1"/>
  <c r="F94" i="4"/>
  <c r="E94" i="4"/>
  <c r="C94" i="4"/>
  <c r="A94" i="4"/>
  <c r="J93" i="4"/>
  <c r="H93" i="4"/>
  <c r="I93" i="4" s="1"/>
  <c r="F93" i="4"/>
  <c r="E93" i="4"/>
  <c r="C93" i="4"/>
  <c r="A93" i="4"/>
  <c r="J92" i="4"/>
  <c r="H92" i="4"/>
  <c r="I92" i="4" s="1"/>
  <c r="F92" i="4"/>
  <c r="E92" i="4"/>
  <c r="C92" i="4"/>
  <c r="A92" i="4"/>
  <c r="J91" i="4"/>
  <c r="H91" i="4"/>
  <c r="I91" i="4" s="1"/>
  <c r="F91" i="4"/>
  <c r="E91" i="4"/>
  <c r="C91" i="4"/>
  <c r="A91" i="4"/>
  <c r="J90" i="4"/>
  <c r="H90" i="4"/>
  <c r="I90" i="4" s="1"/>
  <c r="F90" i="4"/>
  <c r="E90" i="4"/>
  <c r="C90" i="4"/>
  <c r="A90" i="4"/>
  <c r="J89" i="4"/>
  <c r="H89" i="4"/>
  <c r="I89" i="4" s="1"/>
  <c r="F89" i="4"/>
  <c r="E89" i="4"/>
  <c r="C89" i="4"/>
  <c r="A89" i="4"/>
  <c r="J88" i="4"/>
  <c r="H88" i="4"/>
  <c r="I88" i="4" s="1"/>
  <c r="F88" i="4"/>
  <c r="E88" i="4"/>
  <c r="C88" i="4"/>
  <c r="A88" i="4"/>
  <c r="J87" i="4"/>
  <c r="H87" i="4"/>
  <c r="I87" i="4" s="1"/>
  <c r="F87" i="4"/>
  <c r="E87" i="4"/>
  <c r="C87" i="4"/>
  <c r="A87" i="4"/>
  <c r="J86" i="4"/>
  <c r="H86" i="4"/>
  <c r="I86" i="4" s="1"/>
  <c r="F86" i="4"/>
  <c r="E86" i="4"/>
  <c r="C86" i="4"/>
  <c r="A86" i="4"/>
  <c r="J85" i="4"/>
  <c r="H85" i="4"/>
  <c r="I85" i="4" s="1"/>
  <c r="F85" i="4"/>
  <c r="E85" i="4"/>
  <c r="C85" i="4"/>
  <c r="A85" i="4"/>
  <c r="J84" i="4"/>
  <c r="H84" i="4"/>
  <c r="I84" i="4" s="1"/>
  <c r="F84" i="4"/>
  <c r="E84" i="4"/>
  <c r="C84" i="4"/>
  <c r="A84" i="4"/>
  <c r="J83" i="4"/>
  <c r="H83" i="4"/>
  <c r="I83" i="4" s="1"/>
  <c r="F83" i="4"/>
  <c r="E83" i="4"/>
  <c r="C83" i="4"/>
  <c r="A83" i="4"/>
  <c r="J82" i="4"/>
  <c r="H82" i="4"/>
  <c r="I82" i="4" s="1"/>
  <c r="F82" i="4"/>
  <c r="E82" i="4"/>
  <c r="C82" i="4"/>
  <c r="A82" i="4"/>
  <c r="J81" i="4"/>
  <c r="H81" i="4"/>
  <c r="I81" i="4" s="1"/>
  <c r="F81" i="4"/>
  <c r="E81" i="4"/>
  <c r="C81" i="4"/>
  <c r="A81" i="4"/>
  <c r="J80" i="4"/>
  <c r="H80" i="4"/>
  <c r="I80" i="4" s="1"/>
  <c r="F80" i="4"/>
  <c r="E80" i="4"/>
  <c r="C80" i="4"/>
  <c r="A80" i="4"/>
  <c r="J79" i="4"/>
  <c r="H79" i="4"/>
  <c r="I79" i="4" s="1"/>
  <c r="F79" i="4"/>
  <c r="E79" i="4"/>
  <c r="C79" i="4"/>
  <c r="A79" i="4"/>
  <c r="J78" i="4"/>
  <c r="H78" i="4"/>
  <c r="I78" i="4" s="1"/>
  <c r="F78" i="4"/>
  <c r="E78" i="4"/>
  <c r="C78" i="4"/>
  <c r="A78" i="4"/>
  <c r="J77" i="4"/>
  <c r="H77" i="4"/>
  <c r="I77" i="4" s="1"/>
  <c r="F77" i="4"/>
  <c r="E77" i="4"/>
  <c r="C77" i="4"/>
  <c r="A77" i="4"/>
  <c r="J76" i="4"/>
  <c r="H76" i="4"/>
  <c r="I76" i="4" s="1"/>
  <c r="F76" i="4"/>
  <c r="E76" i="4"/>
  <c r="C76" i="4"/>
  <c r="A76" i="4"/>
  <c r="J75" i="4"/>
  <c r="H75" i="4"/>
  <c r="I75" i="4" s="1"/>
  <c r="F75" i="4"/>
  <c r="E75" i="4"/>
  <c r="C75" i="4"/>
  <c r="A75" i="4"/>
  <c r="J74" i="4"/>
  <c r="H74" i="4"/>
  <c r="I74" i="4" s="1"/>
  <c r="F74" i="4"/>
  <c r="E74" i="4"/>
  <c r="C74" i="4"/>
  <c r="A74" i="4"/>
  <c r="J73" i="4"/>
  <c r="H73" i="4"/>
  <c r="I73" i="4" s="1"/>
  <c r="F73" i="4"/>
  <c r="E73" i="4"/>
  <c r="C73" i="4"/>
  <c r="A73" i="4"/>
  <c r="J72" i="4"/>
  <c r="H72" i="4"/>
  <c r="I72" i="4" s="1"/>
  <c r="F72" i="4"/>
  <c r="E72" i="4"/>
  <c r="C72" i="4"/>
  <c r="A72" i="4"/>
  <c r="J71" i="4"/>
  <c r="H71" i="4"/>
  <c r="I71" i="4" s="1"/>
  <c r="F71" i="4"/>
  <c r="E71" i="4"/>
  <c r="C71" i="4"/>
  <c r="A71" i="4"/>
  <c r="J70" i="4"/>
  <c r="H70" i="4"/>
  <c r="I70" i="4" s="1"/>
  <c r="F70" i="4"/>
  <c r="E70" i="4"/>
  <c r="C70" i="4"/>
  <c r="A70" i="4"/>
  <c r="J69" i="4"/>
  <c r="H69" i="4"/>
  <c r="I69" i="4" s="1"/>
  <c r="F69" i="4"/>
  <c r="E69" i="4"/>
  <c r="C69" i="4"/>
  <c r="A69" i="4"/>
  <c r="J68" i="4"/>
  <c r="H68" i="4"/>
  <c r="I68" i="4" s="1"/>
  <c r="F68" i="4"/>
  <c r="E68" i="4"/>
  <c r="C68" i="4"/>
  <c r="A68" i="4"/>
  <c r="J67" i="4"/>
  <c r="H67" i="4"/>
  <c r="I67" i="4" s="1"/>
  <c r="F67" i="4"/>
  <c r="E67" i="4"/>
  <c r="C67" i="4"/>
  <c r="A67" i="4"/>
  <c r="J66" i="4"/>
  <c r="H66" i="4"/>
  <c r="I66" i="4" s="1"/>
  <c r="F66" i="4"/>
  <c r="E66" i="4"/>
  <c r="C66" i="4"/>
  <c r="A66" i="4"/>
  <c r="J65" i="4"/>
  <c r="H65" i="4"/>
  <c r="I65" i="4" s="1"/>
  <c r="F65" i="4"/>
  <c r="E65" i="4"/>
  <c r="C65" i="4"/>
  <c r="A65" i="4"/>
  <c r="J64" i="4"/>
  <c r="H64" i="4"/>
  <c r="I64" i="4" s="1"/>
  <c r="F64" i="4"/>
  <c r="E64" i="4"/>
  <c r="C64" i="4"/>
  <c r="A64" i="4"/>
  <c r="J63" i="4"/>
  <c r="H63" i="4"/>
  <c r="I63" i="4" s="1"/>
  <c r="F63" i="4"/>
  <c r="E63" i="4"/>
  <c r="C63" i="4"/>
  <c r="A63" i="4"/>
  <c r="J62" i="4"/>
  <c r="H62" i="4"/>
  <c r="I62" i="4" s="1"/>
  <c r="F62" i="4"/>
  <c r="E62" i="4"/>
  <c r="C62" i="4"/>
  <c r="A62" i="4"/>
  <c r="J61" i="4"/>
  <c r="H61" i="4"/>
  <c r="I61" i="4" s="1"/>
  <c r="F61" i="4"/>
  <c r="E61" i="4"/>
  <c r="C61" i="4"/>
  <c r="A61" i="4"/>
  <c r="J60" i="4"/>
  <c r="H60" i="4"/>
  <c r="I60" i="4" s="1"/>
  <c r="F60" i="4"/>
  <c r="E60" i="4"/>
  <c r="C60" i="4"/>
  <c r="A60" i="4"/>
  <c r="J59" i="4"/>
  <c r="H59" i="4"/>
  <c r="I59" i="4" s="1"/>
  <c r="F59" i="4"/>
  <c r="E59" i="4"/>
  <c r="C59" i="4"/>
  <c r="A59" i="4"/>
  <c r="J58" i="4"/>
  <c r="H58" i="4"/>
  <c r="I58" i="4" s="1"/>
  <c r="F58" i="4"/>
  <c r="E58" i="4"/>
  <c r="C58" i="4"/>
  <c r="A58" i="4"/>
  <c r="J57" i="4"/>
  <c r="H57" i="4"/>
  <c r="I57" i="4" s="1"/>
  <c r="F57" i="4"/>
  <c r="E57" i="4"/>
  <c r="C57" i="4"/>
  <c r="A57" i="4"/>
  <c r="J56" i="4"/>
  <c r="H56" i="4"/>
  <c r="I56" i="4" s="1"/>
  <c r="F56" i="4"/>
  <c r="E56" i="4"/>
  <c r="C56" i="4"/>
  <c r="A56" i="4"/>
  <c r="J55" i="4"/>
  <c r="H55" i="4"/>
  <c r="I55" i="4" s="1"/>
  <c r="F55" i="4"/>
  <c r="E55" i="4"/>
  <c r="C55" i="4"/>
  <c r="A55" i="4"/>
  <c r="J54" i="4"/>
  <c r="H54" i="4"/>
  <c r="I54" i="4" s="1"/>
  <c r="F54" i="4"/>
  <c r="E54" i="4"/>
  <c r="C54" i="4"/>
  <c r="A54" i="4"/>
  <c r="J53" i="4"/>
  <c r="H53" i="4"/>
  <c r="I53" i="4" s="1"/>
  <c r="F53" i="4"/>
  <c r="E53" i="4"/>
  <c r="C53" i="4"/>
  <c r="A53" i="4"/>
  <c r="J52" i="4"/>
  <c r="H52" i="4"/>
  <c r="I52" i="4" s="1"/>
  <c r="F52" i="4"/>
  <c r="E52" i="4"/>
  <c r="C52" i="4"/>
  <c r="A52" i="4"/>
  <c r="J51" i="4"/>
  <c r="H51" i="4"/>
  <c r="I51" i="4" s="1"/>
  <c r="F51" i="4"/>
  <c r="E51" i="4"/>
  <c r="C51" i="4"/>
  <c r="A51" i="4"/>
  <c r="J50" i="4"/>
  <c r="H50" i="4"/>
  <c r="I50" i="4" s="1"/>
  <c r="F50" i="4"/>
  <c r="E50" i="4"/>
  <c r="C50" i="4"/>
  <c r="A50" i="4"/>
  <c r="J49" i="4"/>
  <c r="H49" i="4"/>
  <c r="I49" i="4" s="1"/>
  <c r="F49" i="4"/>
  <c r="E49" i="4"/>
  <c r="C49" i="4"/>
  <c r="A49" i="4"/>
  <c r="J48" i="4"/>
  <c r="H48" i="4"/>
  <c r="I48" i="4" s="1"/>
  <c r="F48" i="4"/>
  <c r="E48" i="4"/>
  <c r="C48" i="4"/>
  <c r="A48" i="4"/>
  <c r="J47" i="4"/>
  <c r="H47" i="4"/>
  <c r="I47" i="4" s="1"/>
  <c r="F47" i="4"/>
  <c r="E47" i="4"/>
  <c r="C47" i="4"/>
  <c r="A47" i="4"/>
  <c r="J46" i="4"/>
  <c r="H46" i="4"/>
  <c r="I46" i="4" s="1"/>
  <c r="F46" i="4"/>
  <c r="E46" i="4"/>
  <c r="C46" i="4"/>
  <c r="A46" i="4"/>
  <c r="J45" i="4"/>
  <c r="H45" i="4"/>
  <c r="I45" i="4" s="1"/>
  <c r="F45" i="4"/>
  <c r="E45" i="4"/>
  <c r="C45" i="4"/>
  <c r="A45" i="4"/>
  <c r="J44" i="4"/>
  <c r="H44" i="4"/>
  <c r="I44" i="4" s="1"/>
  <c r="F44" i="4"/>
  <c r="E44" i="4"/>
  <c r="C44" i="4"/>
  <c r="A44" i="4"/>
  <c r="J43" i="4"/>
  <c r="H43" i="4"/>
  <c r="I43" i="4" s="1"/>
  <c r="F43" i="4"/>
  <c r="E43" i="4"/>
  <c r="C43" i="4"/>
  <c r="A43" i="4"/>
  <c r="J42" i="4"/>
  <c r="H42" i="4"/>
  <c r="I42" i="4" s="1"/>
  <c r="F42" i="4"/>
  <c r="E42" i="4"/>
  <c r="C42" i="4"/>
  <c r="A42" i="4"/>
  <c r="J41" i="4"/>
  <c r="H41" i="4"/>
  <c r="I41" i="4" s="1"/>
  <c r="F41" i="4"/>
  <c r="E41" i="4"/>
  <c r="C41" i="4"/>
  <c r="A41" i="4"/>
  <c r="J40" i="4"/>
  <c r="H40" i="4"/>
  <c r="I40" i="4" s="1"/>
  <c r="F40" i="4"/>
  <c r="E40" i="4"/>
  <c r="C40" i="4"/>
  <c r="A40" i="4"/>
  <c r="J39" i="4"/>
  <c r="H39" i="4"/>
  <c r="I39" i="4" s="1"/>
  <c r="F39" i="4"/>
  <c r="E39" i="4"/>
  <c r="C39" i="4"/>
  <c r="A39" i="4"/>
  <c r="J38" i="4"/>
  <c r="H38" i="4"/>
  <c r="I38" i="4" s="1"/>
  <c r="F38" i="4"/>
  <c r="E38" i="4"/>
  <c r="C38" i="4"/>
  <c r="A38" i="4"/>
  <c r="J37" i="4"/>
  <c r="H37" i="4"/>
  <c r="I37" i="4" s="1"/>
  <c r="F37" i="4"/>
  <c r="E37" i="4"/>
  <c r="C37" i="4"/>
  <c r="A37" i="4"/>
  <c r="J36" i="4"/>
  <c r="H36" i="4"/>
  <c r="I36" i="4" s="1"/>
  <c r="F36" i="4"/>
  <c r="E36" i="4"/>
  <c r="C36" i="4"/>
  <c r="A36" i="4"/>
  <c r="J35" i="4"/>
  <c r="H35" i="4"/>
  <c r="I35" i="4" s="1"/>
  <c r="F35" i="4"/>
  <c r="E35" i="4"/>
  <c r="C35" i="4"/>
  <c r="A35" i="4"/>
  <c r="J34" i="4"/>
  <c r="H34" i="4"/>
  <c r="I34" i="4" s="1"/>
  <c r="F34" i="4"/>
  <c r="E34" i="4"/>
  <c r="C34" i="4"/>
  <c r="A34" i="4"/>
  <c r="J33" i="4"/>
  <c r="H33" i="4"/>
  <c r="I33" i="4" s="1"/>
  <c r="F33" i="4"/>
  <c r="E33" i="4"/>
  <c r="C33" i="4"/>
  <c r="A33" i="4"/>
  <c r="J32" i="4"/>
  <c r="H32" i="4"/>
  <c r="I32" i="4" s="1"/>
  <c r="F32" i="4"/>
  <c r="E32" i="4"/>
  <c r="C32" i="4"/>
  <c r="A32" i="4"/>
  <c r="J31" i="4"/>
  <c r="H31" i="4"/>
  <c r="I31" i="4" s="1"/>
  <c r="F31" i="4"/>
  <c r="E31" i="4"/>
  <c r="C31" i="4"/>
  <c r="A31" i="4"/>
  <c r="J30" i="4"/>
  <c r="H30" i="4"/>
  <c r="I30" i="4" s="1"/>
  <c r="F30" i="4"/>
  <c r="E30" i="4"/>
  <c r="C30" i="4"/>
  <c r="A30" i="4"/>
  <c r="J29" i="4"/>
  <c r="H29" i="4"/>
  <c r="I29" i="4" s="1"/>
  <c r="F29" i="4"/>
  <c r="E29" i="4"/>
  <c r="C29" i="4"/>
  <c r="A29" i="4"/>
  <c r="J28" i="4"/>
  <c r="H28" i="4"/>
  <c r="I28" i="4" s="1"/>
  <c r="F28" i="4"/>
  <c r="E28" i="4"/>
  <c r="C28" i="4"/>
  <c r="A28" i="4"/>
  <c r="J27" i="4"/>
  <c r="H27" i="4"/>
  <c r="I27" i="4" s="1"/>
  <c r="F27" i="4"/>
  <c r="E27" i="4"/>
  <c r="C27" i="4"/>
  <c r="A27" i="4"/>
  <c r="J26" i="4"/>
  <c r="H26" i="4"/>
  <c r="I26" i="4" s="1"/>
  <c r="F26" i="4"/>
  <c r="E26" i="4"/>
  <c r="C26" i="4"/>
  <c r="A26" i="4"/>
  <c r="J25" i="4"/>
  <c r="H25" i="4"/>
  <c r="I25" i="4" s="1"/>
  <c r="F25" i="4"/>
  <c r="E25" i="4"/>
  <c r="C25" i="4"/>
  <c r="A25" i="4"/>
  <c r="J24" i="4"/>
  <c r="H24" i="4"/>
  <c r="I24" i="4" s="1"/>
  <c r="F24" i="4"/>
  <c r="E24" i="4"/>
  <c r="C24" i="4"/>
  <c r="A24" i="4"/>
  <c r="J23" i="4"/>
  <c r="H23" i="4"/>
  <c r="I23" i="4" s="1"/>
  <c r="F23" i="4"/>
  <c r="E23" i="4"/>
  <c r="C23" i="4"/>
  <c r="A23" i="4"/>
  <c r="J22" i="4"/>
  <c r="H22" i="4"/>
  <c r="I22" i="4" s="1"/>
  <c r="F22" i="4"/>
  <c r="E22" i="4"/>
  <c r="C22" i="4"/>
  <c r="A22" i="4"/>
  <c r="J21" i="4"/>
  <c r="H21" i="4"/>
  <c r="I21" i="4" s="1"/>
  <c r="F21" i="4"/>
  <c r="E21" i="4"/>
  <c r="C21" i="4"/>
  <c r="A21" i="4"/>
  <c r="J20" i="4"/>
  <c r="H20" i="4"/>
  <c r="I20" i="4" s="1"/>
  <c r="F20" i="4"/>
  <c r="E20" i="4"/>
  <c r="C20" i="4"/>
  <c r="A20" i="4"/>
  <c r="J19" i="4"/>
  <c r="H19" i="4"/>
  <c r="I19" i="4" s="1"/>
  <c r="F19" i="4"/>
  <c r="E19" i="4"/>
  <c r="C19" i="4"/>
  <c r="A19" i="4"/>
  <c r="J18" i="4"/>
  <c r="H18" i="4"/>
  <c r="I18" i="4" s="1"/>
  <c r="F18" i="4"/>
  <c r="E18" i="4"/>
  <c r="C18" i="4"/>
  <c r="A18" i="4"/>
  <c r="J17" i="4"/>
  <c r="H17" i="4"/>
  <c r="I17" i="4" s="1"/>
  <c r="F17" i="4"/>
  <c r="E17" i="4"/>
  <c r="C17" i="4"/>
  <c r="A17" i="4"/>
  <c r="J16" i="4"/>
  <c r="H16" i="4"/>
  <c r="I16" i="4" s="1"/>
  <c r="F16" i="4"/>
  <c r="E16" i="4"/>
  <c r="C16" i="4"/>
  <c r="A16" i="4"/>
  <c r="J15" i="4"/>
  <c r="H15" i="4"/>
  <c r="I15" i="4" s="1"/>
  <c r="F15" i="4"/>
  <c r="E15" i="4"/>
  <c r="C15" i="4"/>
  <c r="A15" i="4"/>
  <c r="J14" i="4"/>
  <c r="H14" i="4"/>
  <c r="I14" i="4" s="1"/>
  <c r="F14" i="4"/>
  <c r="E14" i="4"/>
  <c r="C14" i="4"/>
  <c r="A14" i="4"/>
  <c r="J13" i="4"/>
  <c r="H13" i="4"/>
  <c r="I13" i="4" s="1"/>
  <c r="F13" i="4"/>
  <c r="E13" i="4"/>
  <c r="C13" i="4"/>
  <c r="A13" i="4"/>
  <c r="J12" i="4"/>
  <c r="H12" i="4"/>
  <c r="I12" i="4" s="1"/>
  <c r="F12" i="4"/>
  <c r="E12" i="4"/>
  <c r="C12" i="4"/>
  <c r="A12" i="4"/>
  <c r="J11" i="4"/>
  <c r="H11" i="4"/>
  <c r="I11" i="4" s="1"/>
  <c r="F11" i="4"/>
  <c r="E11" i="4"/>
  <c r="C11" i="4"/>
  <c r="A11" i="4"/>
  <c r="J10" i="4"/>
  <c r="H10" i="4"/>
  <c r="I10" i="4" s="1"/>
  <c r="F10" i="4"/>
  <c r="E10" i="4"/>
  <c r="C10" i="4"/>
  <c r="A10" i="4"/>
  <c r="J9" i="4"/>
  <c r="H9" i="4"/>
  <c r="I9" i="4" s="1"/>
  <c r="F9" i="4"/>
  <c r="E9" i="4"/>
  <c r="C9" i="4"/>
  <c r="A9" i="4"/>
  <c r="J8" i="4"/>
  <c r="H8" i="4"/>
  <c r="I8" i="4" s="1"/>
  <c r="F8" i="4"/>
  <c r="E8" i="4"/>
  <c r="C8" i="4"/>
  <c r="A8" i="4"/>
  <c r="J7" i="4"/>
  <c r="H7" i="4"/>
  <c r="I7" i="4" s="1"/>
  <c r="F7" i="4"/>
  <c r="E7" i="4"/>
  <c r="C7" i="4"/>
  <c r="A7" i="4"/>
  <c r="J6" i="4"/>
  <c r="H6" i="4"/>
  <c r="I6" i="4" s="1"/>
  <c r="F6" i="4"/>
  <c r="E6" i="4"/>
  <c r="C6" i="4"/>
  <c r="A6" i="4"/>
  <c r="J5" i="4"/>
  <c r="H5" i="4"/>
  <c r="I5" i="4" s="1"/>
  <c r="F5" i="4"/>
  <c r="E5" i="4"/>
  <c r="C5" i="4"/>
  <c r="A5" i="4"/>
  <c r="J4" i="4"/>
  <c r="H4" i="4"/>
  <c r="I4" i="4" s="1"/>
  <c r="F4" i="4"/>
  <c r="E4" i="4"/>
  <c r="C4" i="4"/>
  <c r="A4" i="4"/>
  <c r="J3" i="4"/>
  <c r="H3" i="4"/>
  <c r="I3" i="4" s="1"/>
  <c r="F3" i="4"/>
  <c r="E3" i="4"/>
  <c r="C3" i="4"/>
  <c r="A3" i="4"/>
  <c r="J2" i="4"/>
  <c r="H2" i="4"/>
  <c r="I2" i="4" s="1"/>
  <c r="F2" i="4"/>
  <c r="E2" i="4"/>
  <c r="C2" i="4"/>
  <c r="A2" i="4"/>
  <c r="F41" i="1"/>
  <c r="F3" i="5" s="1"/>
  <c r="G3" i="5" s="1"/>
  <c r="D41" i="1"/>
  <c r="F40" i="1"/>
  <c r="F72" i="5" s="1"/>
  <c r="G72" i="5" s="1"/>
  <c r="D40" i="1"/>
  <c r="F39" i="1"/>
  <c r="F39" i="5" s="1"/>
  <c r="G39" i="5" s="1"/>
  <c r="D39" i="1"/>
  <c r="F38" i="1"/>
  <c r="F27" i="5" s="1"/>
  <c r="G27" i="5" s="1"/>
  <c r="D38" i="1"/>
  <c r="F37" i="1"/>
  <c r="F90" i="5" s="1"/>
  <c r="G90" i="5" s="1"/>
  <c r="D37" i="1"/>
  <c r="F36" i="1"/>
  <c r="F138" i="5" s="1"/>
  <c r="G138" i="5" s="1"/>
  <c r="D36" i="1"/>
  <c r="F35" i="1"/>
  <c r="F123" i="5" s="1"/>
  <c r="G123" i="5" s="1"/>
  <c r="D35" i="1"/>
  <c r="F34" i="1"/>
  <c r="F42" i="5" s="1"/>
  <c r="G42" i="5" s="1"/>
  <c r="D34" i="1"/>
  <c r="F33" i="1"/>
  <c r="F47" i="5" s="1"/>
  <c r="G47" i="5" s="1"/>
  <c r="D33" i="1"/>
  <c r="F32" i="1"/>
  <c r="F87" i="5" s="1"/>
  <c r="G87" i="5" s="1"/>
  <c r="D32" i="1"/>
  <c r="F31" i="1"/>
  <c r="F124" i="5" s="1"/>
  <c r="G124" i="5" s="1"/>
  <c r="D31" i="1"/>
  <c r="F30" i="1"/>
  <c r="F146" i="5" s="1"/>
  <c r="G146" i="5" s="1"/>
  <c r="D30" i="1"/>
  <c r="F29" i="1"/>
  <c r="F145" i="5" s="1"/>
  <c r="G145" i="5" s="1"/>
  <c r="D29" i="1"/>
  <c r="F28" i="1"/>
  <c r="F111" i="5" s="1"/>
  <c r="G111" i="5" s="1"/>
  <c r="D28" i="1"/>
  <c r="F27" i="1"/>
  <c r="F130" i="5" s="1"/>
  <c r="G130" i="5" s="1"/>
  <c r="D27" i="1"/>
  <c r="F26" i="1"/>
  <c r="F24" i="5" s="1"/>
  <c r="G24" i="5" s="1"/>
  <c r="D26" i="1"/>
  <c r="F25" i="1"/>
  <c r="F23" i="5" s="1"/>
  <c r="G23" i="5" s="1"/>
  <c r="D25" i="1"/>
  <c r="F24" i="1"/>
  <c r="F43" i="5" s="1"/>
  <c r="G43" i="5" s="1"/>
  <c r="D24" i="1"/>
  <c r="F23" i="1"/>
  <c r="F53" i="5" s="1"/>
  <c r="G53" i="5" s="1"/>
  <c r="D23" i="1"/>
  <c r="F22" i="1"/>
  <c r="F94" i="5" s="1"/>
  <c r="G94" i="5" s="1"/>
  <c r="D22" i="1"/>
  <c r="F21" i="1"/>
  <c r="F4" i="5" s="1"/>
  <c r="G4" i="5" s="1"/>
  <c r="D21" i="1"/>
  <c r="F20" i="1"/>
  <c r="F116" i="5" s="1"/>
  <c r="G116" i="5" s="1"/>
  <c r="D20" i="1"/>
  <c r="F19" i="1"/>
  <c r="F54" i="5" s="1"/>
  <c r="G54" i="5" s="1"/>
  <c r="D19" i="1"/>
  <c r="F18" i="1"/>
  <c r="F31" i="5" s="1"/>
  <c r="G31" i="5" s="1"/>
  <c r="D18" i="1"/>
  <c r="F17" i="1"/>
  <c r="F35" i="5" s="1"/>
  <c r="G35" i="5" s="1"/>
  <c r="D17" i="1"/>
  <c r="F16" i="1"/>
  <c r="F101" i="5" s="1"/>
  <c r="G101" i="5" s="1"/>
  <c r="D16" i="1"/>
  <c r="F15" i="1"/>
  <c r="F76" i="5" s="1"/>
  <c r="G76" i="5" s="1"/>
  <c r="D15" i="1"/>
  <c r="F14" i="1"/>
  <c r="F7" i="5" s="1"/>
  <c r="G7" i="5" s="1"/>
  <c r="D14" i="1"/>
  <c r="F13" i="1"/>
  <c r="F134" i="5" s="1"/>
  <c r="G134" i="5" s="1"/>
  <c r="D13" i="1"/>
  <c r="F12" i="1"/>
  <c r="F56" i="5" s="1"/>
  <c r="G56" i="5" s="1"/>
  <c r="D12" i="1"/>
  <c r="F11" i="1"/>
  <c r="F19" i="5" s="1"/>
  <c r="G19" i="5" s="1"/>
  <c r="D11" i="1"/>
  <c r="F10" i="1"/>
  <c r="F79" i="5" s="1"/>
  <c r="G79" i="5" s="1"/>
  <c r="D10" i="1"/>
  <c r="F9" i="1"/>
  <c r="F113" i="5" s="1"/>
  <c r="G113" i="5" s="1"/>
  <c r="D9" i="1"/>
  <c r="F8" i="1"/>
  <c r="F147" i="5" s="1"/>
  <c r="G147" i="5" s="1"/>
  <c r="D8" i="1"/>
  <c r="F7" i="1"/>
  <c r="F8" i="5" s="1"/>
  <c r="G8" i="5" s="1"/>
  <c r="D7" i="1"/>
  <c r="F6" i="1"/>
  <c r="F11" i="5" s="1"/>
  <c r="G11" i="5" s="1"/>
  <c r="D6" i="1"/>
  <c r="F5" i="1"/>
  <c r="F60" i="5" s="1"/>
  <c r="G60" i="5" s="1"/>
  <c r="D5" i="1"/>
  <c r="F4" i="1"/>
  <c r="F86" i="5" s="1"/>
  <c r="G86" i="5" s="1"/>
  <c r="D4" i="1"/>
  <c r="F3" i="1"/>
  <c r="F46" i="5" s="1"/>
  <c r="G46" i="5" s="1"/>
  <c r="D3" i="1"/>
  <c r="F2" i="1"/>
  <c r="F68" i="5" s="1"/>
  <c r="G68" i="5" s="1"/>
  <c r="D2" i="1"/>
  <c r="B10" i="7" l="1"/>
  <c r="B11" i="7"/>
  <c r="B8" i="7"/>
  <c r="F2" i="5"/>
  <c r="G2" i="5" s="1"/>
  <c r="F148" i="5"/>
  <c r="G148" i="5" s="1"/>
  <c r="F144" i="5"/>
  <c r="G144" i="5" s="1"/>
  <c r="F140" i="5"/>
  <c r="G140" i="5" s="1"/>
  <c r="F137" i="5"/>
  <c r="G137" i="5" s="1"/>
  <c r="F133" i="5"/>
  <c r="G133" i="5" s="1"/>
  <c r="F129" i="5"/>
  <c r="G129" i="5" s="1"/>
  <c r="F126" i="5"/>
  <c r="G126" i="5" s="1"/>
  <c r="F122" i="5"/>
  <c r="G122" i="5" s="1"/>
  <c r="F119" i="5"/>
  <c r="G119" i="5" s="1"/>
  <c r="F115" i="5"/>
  <c r="G115" i="5" s="1"/>
  <c r="F112" i="5"/>
  <c r="G112" i="5" s="1"/>
  <c r="F108" i="5"/>
  <c r="G108" i="5" s="1"/>
  <c r="F104" i="5"/>
  <c r="G104" i="5" s="1"/>
  <c r="F100" i="5"/>
  <c r="G100" i="5" s="1"/>
  <c r="F96" i="5"/>
  <c r="G96" i="5" s="1"/>
  <c r="F89" i="5"/>
  <c r="G89" i="5" s="1"/>
  <c r="F85" i="5"/>
  <c r="G85" i="5" s="1"/>
  <c r="F81" i="5"/>
  <c r="G81" i="5" s="1"/>
  <c r="F75" i="5"/>
  <c r="G75" i="5" s="1"/>
  <c r="F71" i="5"/>
  <c r="G71" i="5" s="1"/>
  <c r="F67" i="5"/>
  <c r="G67" i="5" s="1"/>
  <c r="F63" i="5"/>
  <c r="G63" i="5" s="1"/>
  <c r="F59" i="5"/>
  <c r="G59" i="5" s="1"/>
  <c r="F55" i="5"/>
  <c r="G55" i="5" s="1"/>
  <c r="F52" i="5"/>
  <c r="G52" i="5" s="1"/>
  <c r="F49" i="5"/>
  <c r="G49" i="5" s="1"/>
  <c r="F45" i="5"/>
  <c r="G45" i="5" s="1"/>
  <c r="F41" i="5"/>
  <c r="G41" i="5" s="1"/>
  <c r="F38" i="5"/>
  <c r="G38" i="5" s="1"/>
  <c r="F34" i="5"/>
  <c r="G34" i="5" s="1"/>
  <c r="F30" i="5"/>
  <c r="G30" i="5" s="1"/>
  <c r="F26" i="5"/>
  <c r="G26" i="5" s="1"/>
  <c r="F22" i="5"/>
  <c r="G22" i="5" s="1"/>
  <c r="F18" i="5"/>
  <c r="G18" i="5" s="1"/>
  <c r="F14" i="5"/>
  <c r="G14" i="5" s="1"/>
  <c r="F10" i="5"/>
  <c r="G10" i="5" s="1"/>
  <c r="F6" i="5"/>
  <c r="G6" i="5" s="1"/>
  <c r="F150" i="5"/>
  <c r="G150" i="5" s="1"/>
  <c r="F143" i="5"/>
  <c r="G143" i="5" s="1"/>
  <c r="F139" i="5"/>
  <c r="G139" i="5" s="1"/>
  <c r="F136" i="5"/>
  <c r="G136" i="5" s="1"/>
  <c r="F132" i="5"/>
  <c r="G132" i="5" s="1"/>
  <c r="F128" i="5"/>
  <c r="G128" i="5" s="1"/>
  <c r="F125" i="5"/>
  <c r="G125" i="5" s="1"/>
  <c r="F121" i="5"/>
  <c r="G121" i="5" s="1"/>
  <c r="F118" i="5"/>
  <c r="G118" i="5" s="1"/>
  <c r="F114" i="5"/>
  <c r="G114" i="5" s="1"/>
  <c r="F107" i="5"/>
  <c r="G107" i="5" s="1"/>
  <c r="F103" i="5"/>
  <c r="G103" i="5" s="1"/>
  <c r="F99" i="5"/>
  <c r="G99" i="5" s="1"/>
  <c r="F95" i="5"/>
  <c r="G95" i="5" s="1"/>
  <c r="F92" i="5"/>
  <c r="G92" i="5" s="1"/>
  <c r="F88" i="5"/>
  <c r="G88" i="5" s="1"/>
  <c r="F84" i="5"/>
  <c r="G84" i="5" s="1"/>
  <c r="F78" i="5"/>
  <c r="G78" i="5" s="1"/>
  <c r="F74" i="5"/>
  <c r="G74" i="5" s="1"/>
  <c r="F70" i="5"/>
  <c r="G70" i="5" s="1"/>
  <c r="F66" i="5"/>
  <c r="G66" i="5" s="1"/>
  <c r="F62" i="5"/>
  <c r="G62" i="5" s="1"/>
  <c r="F58" i="5"/>
  <c r="G58" i="5" s="1"/>
  <c r="F48" i="5"/>
  <c r="G48" i="5" s="1"/>
  <c r="F44" i="5"/>
  <c r="G44" i="5" s="1"/>
  <c r="F40" i="5"/>
  <c r="G40" i="5" s="1"/>
  <c r="F37" i="5"/>
  <c r="G37" i="5" s="1"/>
  <c r="F33" i="5"/>
  <c r="G33" i="5" s="1"/>
  <c r="F29" i="5"/>
  <c r="G29" i="5" s="1"/>
  <c r="F25" i="5"/>
  <c r="G25" i="5" s="1"/>
  <c r="F21" i="5"/>
  <c r="G21" i="5" s="1"/>
  <c r="F17" i="5"/>
  <c r="G17" i="5" s="1"/>
  <c r="F13" i="5"/>
  <c r="G13" i="5" s="1"/>
  <c r="F9" i="5"/>
  <c r="G9" i="5" s="1"/>
  <c r="F5" i="5"/>
  <c r="G5" i="5" s="1"/>
  <c r="F149" i="5"/>
  <c r="G149" i="5" s="1"/>
  <c r="F142" i="5"/>
  <c r="G142" i="5" s="1"/>
  <c r="F135" i="5"/>
  <c r="G135" i="5" s="1"/>
  <c r="F131" i="5"/>
  <c r="G131" i="5" s="1"/>
  <c r="F120" i="5"/>
  <c r="G120" i="5" s="1"/>
  <c r="F117" i="5"/>
  <c r="G117" i="5" s="1"/>
  <c r="F110" i="5"/>
  <c r="G110" i="5" s="1"/>
  <c r="F106" i="5"/>
  <c r="G106" i="5" s="1"/>
  <c r="F102" i="5"/>
  <c r="G102" i="5" s="1"/>
  <c r="F98" i="5"/>
  <c r="G98" i="5" s="1"/>
  <c r="F91" i="5"/>
  <c r="G91" i="5" s="1"/>
  <c r="F83" i="5"/>
  <c r="G83" i="5" s="1"/>
  <c r="F80" i="5"/>
  <c r="G80" i="5" s="1"/>
  <c r="F77" i="5"/>
  <c r="G77" i="5" s="1"/>
  <c r="F73" i="5"/>
  <c r="G73" i="5" s="1"/>
  <c r="F69" i="5"/>
  <c r="G69" i="5" s="1"/>
  <c r="F65" i="5"/>
  <c r="G65" i="5" s="1"/>
  <c r="F61" i="5"/>
  <c r="G61" i="5" s="1"/>
  <c r="F57" i="5"/>
  <c r="G57" i="5" s="1"/>
  <c r="F51" i="5"/>
  <c r="G51" i="5" s="1"/>
  <c r="F36" i="5"/>
  <c r="G36" i="5" s="1"/>
  <c r="F32" i="5"/>
  <c r="G32" i="5" s="1"/>
  <c r="F28" i="5"/>
  <c r="G28" i="5" s="1"/>
  <c r="F20" i="5"/>
  <c r="G20" i="5" s="1"/>
  <c r="F16" i="5"/>
  <c r="G16" i="5" s="1"/>
  <c r="F12" i="5"/>
  <c r="G12" i="5" s="1"/>
  <c r="F141" i="5"/>
  <c r="G141" i="5" s="1"/>
  <c r="F127" i="5"/>
  <c r="G127" i="5" s="1"/>
  <c r="F109" i="5"/>
  <c r="G109" i="5" s="1"/>
  <c r="F105" i="5"/>
  <c r="G105" i="5" s="1"/>
  <c r="F97" i="5"/>
  <c r="G97" i="5" s="1"/>
  <c r="F93" i="5"/>
  <c r="G93" i="5" s="1"/>
  <c r="F82" i="5"/>
  <c r="G82" i="5" s="1"/>
  <c r="F64" i="5"/>
  <c r="G64" i="5" s="1"/>
  <c r="F50" i="5"/>
  <c r="G50" i="5" s="1"/>
  <c r="F15" i="5"/>
  <c r="G15" i="5" s="1"/>
  <c r="B2" i="7"/>
  <c r="B6" i="7"/>
  <c r="C6" i="7" s="1"/>
  <c r="B5" i="7"/>
  <c r="C5" i="7" s="1"/>
  <c r="B3" i="7"/>
  <c r="B13" i="7" l="1"/>
  <c r="G1048576" i="5"/>
  <c r="B4" i="7"/>
</calcChain>
</file>

<file path=xl/sharedStrings.xml><?xml version="1.0" encoding="utf-8"?>
<sst xmlns="http://schemas.openxmlformats.org/spreadsheetml/2006/main" count="1399" uniqueCount="278">
  <si>
    <t>Product ID (SKU)</t>
  </si>
  <si>
    <t>Product Name</t>
  </si>
  <si>
    <t>Category</t>
  </si>
  <si>
    <t>Brand</t>
  </si>
  <si>
    <t>5KCXE8ZI</t>
  </si>
  <si>
    <t>Fresh Anti-Dandruff Cool Mint Shampoo</t>
  </si>
  <si>
    <t>Personal Care (Shampoo &amp; Soap)</t>
  </si>
  <si>
    <t>TOKW9ABP</t>
  </si>
  <si>
    <t>Fresh Smooth &amp; Shiny Daily Silky Shampoo</t>
  </si>
  <si>
    <t>Q92TVB4C</t>
  </si>
  <si>
    <t>Fresh 2-in-1 Shampoo + Conditioner for Kids (Mango Flavor)</t>
  </si>
  <si>
    <t>B39QQXPS</t>
  </si>
  <si>
    <t>Purely Apple Cider Vinegar Hair Therapy Shampoo</t>
  </si>
  <si>
    <t>L1RF73ZB</t>
  </si>
  <si>
    <t>Purely Argan Oil &amp; Moroccan Clay Repair Shampoo</t>
  </si>
  <si>
    <t>WDKGFSC3</t>
  </si>
  <si>
    <t>Purely Activated Charcoal Deep Cleanse Men’s Shampoo</t>
  </si>
  <si>
    <t>60QV9086</t>
  </si>
  <si>
    <t>Purely Fragrance-Free Ultra-Mild Sensitive Scalp Shampoo</t>
  </si>
  <si>
    <t>P4DFOT5Y</t>
  </si>
  <si>
    <t>Fresh Vitamin E &amp; Aloe Vera Moisturizing Bar</t>
  </si>
  <si>
    <t>FPBDJQCM</t>
  </si>
  <si>
    <t>Fresh Refreshing Lemon &amp; Neem Germ Protection Soap</t>
  </si>
  <si>
    <t>KD623HWM</t>
  </si>
  <si>
    <t>Fresh Rose Petal Cream Bathing Bar</t>
  </si>
  <si>
    <t>2MAW59E0</t>
  </si>
  <si>
    <t>Purely Handcrafted Oatmeal &amp; Honey Exfoliating Scrub Soap</t>
  </si>
  <si>
    <t>7EQW23XA</t>
  </si>
  <si>
    <t>Purely Tea Tree &amp; Salicylic Acid Acne-Control Bar</t>
  </si>
  <si>
    <t>7TOPPUAS</t>
  </si>
  <si>
    <t>Fresh Lemon Power Detergent Powder (Tough Stain Remover)</t>
  </si>
  <si>
    <t>Home Care (Detergent)</t>
  </si>
  <si>
    <t>FQM8HPXM</t>
  </si>
  <si>
    <t>Fresh Lavender Fields Liquid Detergent (Front &amp; Top Load)</t>
  </si>
  <si>
    <t>K5JEEZ29</t>
  </si>
  <si>
    <t>Fresh Fabric Conditioner &amp; Softener (Morning Dew)</t>
  </si>
  <si>
    <t>LIDWWTRO</t>
  </si>
  <si>
    <t>Purely Plant-Based Baby Laundry Detergent (Hypoallergenic)</t>
  </si>
  <si>
    <t>5K3AAX91</t>
  </si>
  <si>
    <t>Purely Eucalyptus Eco-Friendly Detergent Sheets</t>
  </si>
  <si>
    <t>LLHRXPJM</t>
  </si>
  <si>
    <t>Purely Bio-Enzyme Liquid Detergent for Delicate Fabrics (Silk/Wool)</t>
  </si>
  <si>
    <t>7GPA08FD</t>
  </si>
  <si>
    <t>Fresh Glucose Power Biscuits (Value Pack)</t>
  </si>
  <si>
    <t>Packaged Foods (Biscuits &amp; Snacks)</t>
  </si>
  <si>
    <t>IS258KLL</t>
  </si>
  <si>
    <t>Fresh Crunchy Choco-Chip Cookies</t>
  </si>
  <si>
    <t>HT7CSM4D</t>
  </si>
  <si>
    <t>Purely 100% Whole Wheat Digestives (Zero Sugar added)</t>
  </si>
  <si>
    <t>440D5XFY</t>
  </si>
  <si>
    <t>Purely Almond &amp; Chia Seed Millet Oats Biscuits</t>
  </si>
  <si>
    <t>OGNIEK8R</t>
  </si>
  <si>
    <t>Purely Keto-Friendly Coconut Flour Cookies</t>
  </si>
  <si>
    <t>NEEPQGXJ</t>
  </si>
  <si>
    <t>Fresh Classic Salted Potato Chips (Party Pack)</t>
  </si>
  <si>
    <t>YXNMUU8A</t>
  </si>
  <si>
    <t>Fresh Tangy Tomato Masala Potato Chips</t>
  </si>
  <si>
    <t>VKR42W2T</t>
  </si>
  <si>
    <t>Fresh Crunchy Peri-Peri Corn Puffs</t>
  </si>
  <si>
    <t>4HG8VOEI</t>
  </si>
  <si>
    <t>Purely Vacuum-Fried Sweet Potato Chips</t>
  </si>
  <si>
    <t>YTKQXZL9</t>
  </si>
  <si>
    <t>Purely Baked Quinoa Puffs (Sour Cream &amp; Onion)</t>
  </si>
  <si>
    <t>X5UTVQQ9</t>
  </si>
  <si>
    <t>Fresh 100% Pure Mixed Fruit Juice</t>
  </si>
  <si>
    <t>Beverages (Juice &amp; Tea)</t>
  </si>
  <si>
    <t>OK1CMHD6</t>
  </si>
  <si>
    <t>Fresh Refreshing Alphonso Mango Drink</t>
  </si>
  <si>
    <t>COKWDUYY</t>
  </si>
  <si>
    <t>Fresh Zesty Orange Juice with Juicy Pulp</t>
  </si>
  <si>
    <t>383U82UJ</t>
  </si>
  <si>
    <t>Fresh Guava Chilli Tangy Nectar</t>
  </si>
  <si>
    <t>I24Q3YSV</t>
  </si>
  <si>
    <t>Purely Cold-Pressed Green Juice (Spinach, Cucumber, Green Apple)</t>
  </si>
  <si>
    <t>7IZENLJD</t>
  </si>
  <si>
    <t>Purely Antioxidant Pomegranate &amp; Beetroot Detox Juice</t>
  </si>
  <si>
    <t>QHYYH9OD</t>
  </si>
  <si>
    <t>Fresh Strong Assam CTC Daily Chai</t>
  </si>
  <si>
    <t>P4I1QLWL</t>
  </si>
  <si>
    <t>Fresh Elaichi (Cardamom) Instant Tea Premix</t>
  </si>
  <si>
    <t>H8CH5ML8</t>
  </si>
  <si>
    <t>Fresh Refreshing Lemon Ice Tea Mix</t>
  </si>
  <si>
    <t>DHBN0OTB</t>
  </si>
  <si>
    <t>Purely Organic Himalayan Green Tea (Whole Leaf)</t>
  </si>
  <si>
    <t>SGIS5I27</t>
  </si>
  <si>
    <t>Purely Soothing Chamomile &amp; Lavender Herbal Tea Infusion</t>
  </si>
  <si>
    <t>1FVG7R94</t>
  </si>
  <si>
    <t>Purely Detox Matcha Tea Powder</t>
  </si>
  <si>
    <t>Supplier ID</t>
  </si>
  <si>
    <t>Supplier Name</t>
  </si>
  <si>
    <t>City</t>
  </si>
  <si>
    <t>Lead Time Days</t>
  </si>
  <si>
    <t>Rating</t>
  </si>
  <si>
    <t>Defect Rate</t>
  </si>
  <si>
    <t>O3AMMT2F</t>
  </si>
  <si>
    <t>Alpha Chemicals</t>
  </si>
  <si>
    <t>Mumbai</t>
  </si>
  <si>
    <t>TQB9XO97</t>
  </si>
  <si>
    <t>Organic Farms Ltd</t>
  </si>
  <si>
    <t>Delhi</t>
  </si>
  <si>
    <t>CQ6GIM0Q</t>
  </si>
  <si>
    <t>Nature Foods Ltd</t>
  </si>
  <si>
    <t>Karnal</t>
  </si>
  <si>
    <t>RQ86YHH8</t>
  </si>
  <si>
    <t>Green Agro Pvt Ltd</t>
  </si>
  <si>
    <t>Hisar</t>
  </si>
  <si>
    <t>B3P8KHJ2</t>
  </si>
  <si>
    <t>Ram Foods Pvt Ltd</t>
  </si>
  <si>
    <t>Kolkata</t>
  </si>
  <si>
    <t>TQB9XO9</t>
  </si>
  <si>
    <t>Herbal Tea Industries</t>
  </si>
  <si>
    <t>Assam</t>
  </si>
  <si>
    <t>TMX8P02</t>
  </si>
  <si>
    <t>Suraj Mukhi Tea Pvt Ltd</t>
  </si>
  <si>
    <t>Siliguri</t>
  </si>
  <si>
    <t>Warehouse ID</t>
  </si>
  <si>
    <t>Warehouse Name</t>
  </si>
  <si>
    <t>Capacity</t>
  </si>
  <si>
    <t>W101</t>
  </si>
  <si>
    <t>North Hub</t>
  </si>
  <si>
    <t>W102</t>
  </si>
  <si>
    <t>East Hub</t>
  </si>
  <si>
    <t>W103</t>
  </si>
  <si>
    <t>South Hub</t>
  </si>
  <si>
    <t>Bengaluru</t>
  </si>
  <si>
    <t>W104</t>
  </si>
  <si>
    <t>Bihar Hub</t>
  </si>
  <si>
    <t>Patna</t>
  </si>
  <si>
    <t>Order ID</t>
  </si>
  <si>
    <t>Order Date</t>
  </si>
  <si>
    <t>Month</t>
  </si>
  <si>
    <t>Product ID</t>
  </si>
  <si>
    <t>Quantity</t>
  </si>
  <si>
    <t>Unit Price</t>
  </si>
  <si>
    <t>Sales Amount</t>
  </si>
  <si>
    <t>DeliveryStatus</t>
  </si>
  <si>
    <t>SKU</t>
  </si>
  <si>
    <t>WarehouseID</t>
  </si>
  <si>
    <t>CurrentStock</t>
  </si>
  <si>
    <t>SafetyStock</t>
  </si>
  <si>
    <t>ReorderPoint</t>
  </si>
  <si>
    <t>ShipmentID</t>
  </si>
  <si>
    <t>SupplierID</t>
  </si>
  <si>
    <t>ProductID</t>
  </si>
  <si>
    <t>ShipmentDate</t>
  </si>
  <si>
    <t>ExpectedDelivery</t>
  </si>
  <si>
    <t>ActualDelivery</t>
  </si>
  <si>
    <t>QuantityShipped</t>
  </si>
  <si>
    <t>TransportCost</t>
  </si>
  <si>
    <t>DelayDays</t>
  </si>
  <si>
    <t>ShipmentStatus</t>
  </si>
  <si>
    <t>AMDM5TTC</t>
  </si>
  <si>
    <t>OBQADTD6</t>
  </si>
  <si>
    <t>C430CG2U</t>
  </si>
  <si>
    <t>R2ZOPDJQ</t>
  </si>
  <si>
    <t>FJNEBK3Z</t>
  </si>
  <si>
    <t>UEYAO3MW</t>
  </si>
  <si>
    <t>Y27685VU</t>
  </si>
  <si>
    <t>XGRZRVEZ</t>
  </si>
  <si>
    <t>MU8XNSZ0</t>
  </si>
  <si>
    <t>91Z9E2GQ</t>
  </si>
  <si>
    <t>6NEGUM94</t>
  </si>
  <si>
    <t>HFTKC58X</t>
  </si>
  <si>
    <t>KWZX6V0V</t>
  </si>
  <si>
    <t>6S3P9W16</t>
  </si>
  <si>
    <t>KPDIQPH5</t>
  </si>
  <si>
    <t>3VV6A4XG</t>
  </si>
  <si>
    <t>E7NMNWY1</t>
  </si>
  <si>
    <t>BJXY5086</t>
  </si>
  <si>
    <t>0JHEMYEV</t>
  </si>
  <si>
    <t>4HSQAKDY</t>
  </si>
  <si>
    <t>4CZVVN7G</t>
  </si>
  <si>
    <t>HVG2XB24</t>
  </si>
  <si>
    <t>RMK0140I</t>
  </si>
  <si>
    <t>PSKF1LEE</t>
  </si>
  <si>
    <t>GRDDIT7E</t>
  </si>
  <si>
    <t>YGN5MQB2</t>
  </si>
  <si>
    <t>C4QU3ZCB</t>
  </si>
  <si>
    <t>2C6Z0C8N</t>
  </si>
  <si>
    <t>YGJ4GCTN</t>
  </si>
  <si>
    <t>M15WLQ8D</t>
  </si>
  <si>
    <t>YG09H0ZO</t>
  </si>
  <si>
    <t>SZMZXEE0</t>
  </si>
  <si>
    <t>DLDMFHTN</t>
  </si>
  <si>
    <t>5TWPW95O</t>
  </si>
  <si>
    <t>OSNBJ0LV</t>
  </si>
  <si>
    <t>Q7E5PG1S</t>
  </si>
  <si>
    <t>8N9U1S85</t>
  </si>
  <si>
    <t>ZL2NTZ4N</t>
  </si>
  <si>
    <t>S6J22KUT</t>
  </si>
  <si>
    <t>XRGMM6E7</t>
  </si>
  <si>
    <t>07WXJTY1</t>
  </si>
  <si>
    <t>OKP3XXSF</t>
  </si>
  <si>
    <t>G4B5OUOX</t>
  </si>
  <si>
    <t>PFVJT741</t>
  </si>
  <si>
    <t>O47ZUF33</t>
  </si>
  <si>
    <t>50CW7O8T</t>
  </si>
  <si>
    <t>EVUALFCQ</t>
  </si>
  <si>
    <t>QALMVJKQ</t>
  </si>
  <si>
    <t>6L2X00GR</t>
  </si>
  <si>
    <t>N9FG4XA7</t>
  </si>
  <si>
    <t>DNLS9XIO</t>
  </si>
  <si>
    <t>9DS3NKZB</t>
  </si>
  <si>
    <t>SULRC4TE</t>
  </si>
  <si>
    <t>AGW6RE28</t>
  </si>
  <si>
    <t>I686ICYC</t>
  </si>
  <si>
    <t>PN3EAMBO</t>
  </si>
  <si>
    <t>H5V5LF9H</t>
  </si>
  <si>
    <t>KSVL3Q27</t>
  </si>
  <si>
    <t>53KYO6U1</t>
  </si>
  <si>
    <t>200OIJTV</t>
  </si>
  <si>
    <t>ZR9D5SYY</t>
  </si>
  <si>
    <t>J62CYE0O</t>
  </si>
  <si>
    <t>RBGUSUVX</t>
  </si>
  <si>
    <t>UWEZ0B4Y</t>
  </si>
  <si>
    <t>M1FGGT2H</t>
  </si>
  <si>
    <t>BJHRT2C0</t>
  </si>
  <si>
    <t>JVGZBSDV</t>
  </si>
  <si>
    <t>06WA65UD</t>
  </si>
  <si>
    <t>QCB9DFHX</t>
  </si>
  <si>
    <t>D4B2S883</t>
  </si>
  <si>
    <t>I03Y95P7</t>
  </si>
  <si>
    <t>OKDONR2M</t>
  </si>
  <si>
    <t>T29SGV00</t>
  </si>
  <si>
    <t>MCWU6B1J</t>
  </si>
  <si>
    <t>6RN53KAI</t>
  </si>
  <si>
    <t>4URTFHQL</t>
  </si>
  <si>
    <t>EWB1SZ30</t>
  </si>
  <si>
    <t>WZYWR25H</t>
  </si>
  <si>
    <t>BOWG8L6O</t>
  </si>
  <si>
    <t>I91FWX0X</t>
  </si>
  <si>
    <t>06RXVV7X</t>
  </si>
  <si>
    <t>VWAJ3KRS</t>
  </si>
  <si>
    <t>UO317P2P</t>
  </si>
  <si>
    <t>2JGTEXOH</t>
  </si>
  <si>
    <t>D6FIOUVD</t>
  </si>
  <si>
    <t>OZTICAYY</t>
  </si>
  <si>
    <t>ForecastMonth</t>
  </si>
  <si>
    <t>ActualDemand</t>
  </si>
  <si>
    <t>ForecastDemand</t>
  </si>
  <si>
    <t>ForecastAccuracy</t>
  </si>
  <si>
    <t>DemandVariance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</si>
  <si>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</si>
  <si>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</si>
  <si>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</si>
  <si>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</si>
  <si>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</si>
  <si>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</si>
  <si>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</si>
  <si>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</si>
  <si>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</si>
  <si>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</si>
  <si>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</si>
  <si>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</si>
  <si>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Total Revenue</t>
  </si>
  <si>
    <t>KPI Name</t>
  </si>
  <si>
    <t>Value</t>
  </si>
  <si>
    <t>Status</t>
  </si>
  <si>
    <t>Total Orders</t>
  </si>
  <si>
    <t>Average Order Value</t>
  </si>
  <si>
    <t>OTIF%</t>
  </si>
  <si>
    <t>Delayed Orders%</t>
  </si>
  <si>
    <t>Forecast Accuracy%</t>
  </si>
  <si>
    <t>Inventory Value</t>
  </si>
  <si>
    <t>High Risk SKUs</t>
  </si>
  <si>
    <t>Stock Out Risk %</t>
  </si>
  <si>
    <t>Shipment On Time%</t>
  </si>
  <si>
    <t>Shipment Minor Delay%</t>
  </si>
  <si>
    <t>Shipment Major Delay%</t>
  </si>
  <si>
    <t>Shipment Critical Delay %</t>
  </si>
  <si>
    <t>Total Shipments</t>
  </si>
  <si>
    <t>Unit Cost  ₹</t>
  </si>
  <si>
    <t>Product Value ₹</t>
  </si>
  <si>
    <t>Inventory Status</t>
  </si>
  <si>
    <t>Monitor</t>
  </si>
  <si>
    <t>Good</t>
  </si>
  <si>
    <t>Unit Price ₹</t>
  </si>
  <si>
    <t>Unit Cost 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</si>
</sst>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m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/>
    <xf numFmtId="9" fontId="1" fillId="0" borderId="0" xfId="0" applyNumberFormat="1" applyFont="1" applyAlignment="1">
      <alignment horizontal="center" vertical="center" wrapText="1"/>
    </xf>
    <xf numFmtId="9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41" totalsRowShown="0">
  <autoFilter ref="A1:F41"/>
  <tableColumns count="6">
    <tableColumn id="1" name="Product ID (SKU)"/>
    <tableColumn id="2" name="Product Name"/>
    <tableColumn id="3" name="Category"/>
    <tableColumn id="4" name="Brand">
      <calculatedColumnFormula>LEFT(B2, FIND(" ", B2) - 1)</calculatedColumnFormula>
    </tableColumn>
    <tableColumn id="5" name="Unit Price ₹"/>
    <tableColumn id="7" name="Unit Cost ₹" dataDxfId="0">
      <calculatedColumnFormula>Table1[[#This Row],[Unit Price ₹]]*(1-30%)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H2" sqref="H2"/>
    </sheetView>
  </sheetViews>
  <sheetFormatPr defaultRowHeight="15" x14ac:dyDescent="0.25"/>
  <cols>
    <col min="1" max="1" width="15.5703125" style="8" bestFit="1" customWidth="1"/>
    <col min="2" max="2" width="62.42578125" style="8" bestFit="1" customWidth="1"/>
    <col min="3" max="3" width="32.42578125" style="8" bestFit="1" customWidth="1"/>
    <col min="4" max="4" width="8.28515625" style="8" customWidth="1"/>
    <col min="5" max="5" width="13.42578125" style="8" customWidth="1"/>
    <col min="6" max="6" width="13.42578125" style="3" customWidth="1"/>
  </cols>
  <sheetData>
    <row r="1" spans="1: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276</v>
      </c>
      <c r="F1" s="10" t="s">
        <v>277</v>
      </c>
    </row>
    <row r="2" spans="1:6" x14ac:dyDescent="0.25">
      <c r="A2" t="s">
        <v>4</v>
      </c>
      <c r="B2" t="s">
        <v>5</v>
      </c>
      <c r="C2" t="s">
        <v>6</v>
      </c>
      <c r="D2" t="str">
        <f t="shared" ref="D2:D41" si="0">LEFT(B2, FIND(" ", B2) - 1)</f>
        <v>Fresh</v>
      </c>
      <c r="E2">
        <v>199</v>
      </c>
      <c r="F2" s="3">
        <f>Table1[[#This Row],[Unit Price ₹]]*(1-30%)</f>
        <v>139.29999999999998</v>
      </c>
    </row>
    <row r="3" spans="1:6" x14ac:dyDescent="0.25">
      <c r="A3" t="s">
        <v>7</v>
      </c>
      <c r="B3" t="s">
        <v>8</v>
      </c>
      <c r="C3" t="s">
        <v>6</v>
      </c>
      <c r="D3" t="str">
        <f t="shared" si="0"/>
        <v>Fresh</v>
      </c>
      <c r="E3">
        <v>185</v>
      </c>
      <c r="F3" s="3">
        <f>Table1[[#This Row],[Unit Price ₹]]*(1-30%)</f>
        <v>129.5</v>
      </c>
    </row>
    <row r="4" spans="1:6" x14ac:dyDescent="0.25">
      <c r="A4" t="s">
        <v>9</v>
      </c>
      <c r="B4" t="s">
        <v>10</v>
      </c>
      <c r="C4" t="s">
        <v>6</v>
      </c>
      <c r="D4" t="str">
        <f t="shared" si="0"/>
        <v>Fresh</v>
      </c>
      <c r="E4">
        <v>225</v>
      </c>
      <c r="F4" s="3">
        <f>Table1[[#This Row],[Unit Price ₹]]*(1-30%)</f>
        <v>157.5</v>
      </c>
    </row>
    <row r="5" spans="1:6" x14ac:dyDescent="0.25">
      <c r="A5" t="s">
        <v>11</v>
      </c>
      <c r="B5" t="s">
        <v>12</v>
      </c>
      <c r="C5" t="s">
        <v>6</v>
      </c>
      <c r="D5" t="str">
        <f t="shared" si="0"/>
        <v>Purely</v>
      </c>
      <c r="E5">
        <v>399</v>
      </c>
      <c r="F5" s="3">
        <f>Table1[[#This Row],[Unit Price ₹]]*(1-30%)</f>
        <v>279.29999999999995</v>
      </c>
    </row>
    <row r="6" spans="1:6" x14ac:dyDescent="0.25">
      <c r="A6" t="s">
        <v>13</v>
      </c>
      <c r="B6" t="s">
        <v>14</v>
      </c>
      <c r="C6" t="s">
        <v>6</v>
      </c>
      <c r="D6" t="str">
        <f t="shared" si="0"/>
        <v>Purely</v>
      </c>
      <c r="E6">
        <v>449</v>
      </c>
      <c r="F6" s="3">
        <f>Table1[[#This Row],[Unit Price ₹]]*(1-30%)</f>
        <v>314.29999999999995</v>
      </c>
    </row>
    <row r="7" spans="1:6" x14ac:dyDescent="0.25">
      <c r="A7" t="s">
        <v>15</v>
      </c>
      <c r="B7" t="s">
        <v>16</v>
      </c>
      <c r="C7" t="s">
        <v>6</v>
      </c>
      <c r="D7" t="str">
        <f t="shared" si="0"/>
        <v>Purely</v>
      </c>
      <c r="E7">
        <v>349</v>
      </c>
      <c r="F7" s="3">
        <f>Table1[[#This Row],[Unit Price ₹]]*(1-30%)</f>
        <v>244.29999999999998</v>
      </c>
    </row>
    <row r="8" spans="1:6" x14ac:dyDescent="0.25">
      <c r="A8" t="s">
        <v>17</v>
      </c>
      <c r="B8" t="s">
        <v>18</v>
      </c>
      <c r="C8" t="s">
        <v>6</v>
      </c>
      <c r="D8" t="str">
        <f t="shared" si="0"/>
        <v>Purely</v>
      </c>
      <c r="E8">
        <v>375</v>
      </c>
      <c r="F8" s="3">
        <f>Table1[[#This Row],[Unit Price ₹]]*(1-30%)</f>
        <v>262.5</v>
      </c>
    </row>
    <row r="9" spans="1:6" x14ac:dyDescent="0.25">
      <c r="A9" t="s">
        <v>19</v>
      </c>
      <c r="B9" t="s">
        <v>20</v>
      </c>
      <c r="C9" t="s">
        <v>6</v>
      </c>
      <c r="D9" t="str">
        <f t="shared" si="0"/>
        <v>Fresh</v>
      </c>
      <c r="E9">
        <v>45</v>
      </c>
      <c r="F9" s="3">
        <f>Table1[[#This Row],[Unit Price ₹]]*(1-30%)</f>
        <v>31.499999999999996</v>
      </c>
    </row>
    <row r="10" spans="1:6" x14ac:dyDescent="0.25">
      <c r="A10" t="s">
        <v>21</v>
      </c>
      <c r="B10" t="s">
        <v>22</v>
      </c>
      <c r="C10" t="s">
        <v>6</v>
      </c>
      <c r="D10" t="str">
        <f t="shared" si="0"/>
        <v>Fresh</v>
      </c>
      <c r="E10">
        <v>40</v>
      </c>
      <c r="F10" s="3">
        <f>Table1[[#This Row],[Unit Price ₹]]*(1-30%)</f>
        <v>28</v>
      </c>
    </row>
    <row r="11" spans="1:6" x14ac:dyDescent="0.25">
      <c r="A11" t="s">
        <v>23</v>
      </c>
      <c r="B11" t="s">
        <v>24</v>
      </c>
      <c r="C11" t="s">
        <v>6</v>
      </c>
      <c r="D11" t="str">
        <f t="shared" si="0"/>
        <v>Fresh</v>
      </c>
      <c r="E11">
        <v>45</v>
      </c>
      <c r="F11" s="3">
        <f>Table1[[#This Row],[Unit Price ₹]]*(1-30%)</f>
        <v>31.499999999999996</v>
      </c>
    </row>
    <row r="12" spans="1:6" x14ac:dyDescent="0.25">
      <c r="A12" t="s">
        <v>25</v>
      </c>
      <c r="B12" t="s">
        <v>26</v>
      </c>
      <c r="C12" t="s">
        <v>6</v>
      </c>
      <c r="D12" t="str">
        <f t="shared" si="0"/>
        <v>Purely</v>
      </c>
      <c r="E12">
        <v>125</v>
      </c>
      <c r="F12" s="3">
        <f>Table1[[#This Row],[Unit Price ₹]]*(1-30%)</f>
        <v>87.5</v>
      </c>
    </row>
    <row r="13" spans="1:6" x14ac:dyDescent="0.25">
      <c r="A13" t="s">
        <v>27</v>
      </c>
      <c r="B13" t="s">
        <v>28</v>
      </c>
      <c r="C13" t="s">
        <v>6</v>
      </c>
      <c r="D13" t="str">
        <f t="shared" si="0"/>
        <v>Purely</v>
      </c>
      <c r="E13">
        <v>140</v>
      </c>
      <c r="F13" s="3">
        <f>Table1[[#This Row],[Unit Price ₹]]*(1-30%)</f>
        <v>98</v>
      </c>
    </row>
    <row r="14" spans="1:6" x14ac:dyDescent="0.25">
      <c r="A14" t="s">
        <v>29</v>
      </c>
      <c r="B14" t="s">
        <v>30</v>
      </c>
      <c r="C14" t="s">
        <v>31</v>
      </c>
      <c r="D14" t="str">
        <f t="shared" si="0"/>
        <v>Fresh</v>
      </c>
      <c r="E14">
        <v>149</v>
      </c>
      <c r="F14" s="3">
        <f>Table1[[#This Row],[Unit Price ₹]]*(1-30%)</f>
        <v>104.3</v>
      </c>
    </row>
    <row r="15" spans="1:6" x14ac:dyDescent="0.25">
      <c r="A15" t="s">
        <v>32</v>
      </c>
      <c r="B15" t="s">
        <v>33</v>
      </c>
      <c r="C15" t="s">
        <v>31</v>
      </c>
      <c r="D15" t="str">
        <f t="shared" si="0"/>
        <v>Fresh</v>
      </c>
      <c r="E15">
        <v>249</v>
      </c>
      <c r="F15" s="3">
        <f>Table1[[#This Row],[Unit Price ₹]]*(1-30%)</f>
        <v>174.29999999999998</v>
      </c>
    </row>
    <row r="16" spans="1:6" x14ac:dyDescent="0.25">
      <c r="A16" t="s">
        <v>34</v>
      </c>
      <c r="B16" t="s">
        <v>35</v>
      </c>
      <c r="C16" t="s">
        <v>31</v>
      </c>
      <c r="D16" t="str">
        <f t="shared" si="0"/>
        <v>Fresh</v>
      </c>
      <c r="E16">
        <v>180</v>
      </c>
      <c r="F16" s="3">
        <f>Table1[[#This Row],[Unit Price ₹]]*(1-30%)</f>
        <v>125.99999999999999</v>
      </c>
    </row>
    <row r="17" spans="1:6" x14ac:dyDescent="0.25">
      <c r="A17" t="s">
        <v>36</v>
      </c>
      <c r="B17" t="s">
        <v>37</v>
      </c>
      <c r="C17" t="s">
        <v>31</v>
      </c>
      <c r="D17" t="str">
        <f t="shared" si="0"/>
        <v>Purely</v>
      </c>
      <c r="E17">
        <v>425</v>
      </c>
      <c r="F17" s="3">
        <f>Table1[[#This Row],[Unit Price ₹]]*(1-30%)</f>
        <v>297.5</v>
      </c>
    </row>
    <row r="18" spans="1:6" x14ac:dyDescent="0.25">
      <c r="A18" t="s">
        <v>38</v>
      </c>
      <c r="B18" t="s">
        <v>39</v>
      </c>
      <c r="C18" t="s">
        <v>31</v>
      </c>
      <c r="D18" t="str">
        <f t="shared" si="0"/>
        <v>Purely</v>
      </c>
      <c r="E18">
        <v>399</v>
      </c>
      <c r="F18" s="3">
        <f>Table1[[#This Row],[Unit Price ₹]]*(1-30%)</f>
        <v>279.29999999999995</v>
      </c>
    </row>
    <row r="19" spans="1:6" x14ac:dyDescent="0.25">
      <c r="A19" t="s">
        <v>40</v>
      </c>
      <c r="B19" t="s">
        <v>41</v>
      </c>
      <c r="C19" t="s">
        <v>31</v>
      </c>
      <c r="D19" t="str">
        <f t="shared" si="0"/>
        <v>Purely</v>
      </c>
      <c r="E19">
        <v>499</v>
      </c>
      <c r="F19" s="3">
        <f>Table1[[#This Row],[Unit Price ₹]]*(1-30%)</f>
        <v>349.29999999999995</v>
      </c>
    </row>
    <row r="20" spans="1:6" x14ac:dyDescent="0.25">
      <c r="A20" t="s">
        <v>42</v>
      </c>
      <c r="B20" t="s">
        <v>43</v>
      </c>
      <c r="C20" t="s">
        <v>44</v>
      </c>
      <c r="D20" t="str">
        <f t="shared" si="0"/>
        <v>Fresh</v>
      </c>
      <c r="E20">
        <v>40</v>
      </c>
      <c r="F20" s="3">
        <f>Table1[[#This Row],[Unit Price ₹]]*(1-30%)</f>
        <v>28</v>
      </c>
    </row>
    <row r="21" spans="1:6" x14ac:dyDescent="0.25">
      <c r="A21" t="s">
        <v>45</v>
      </c>
      <c r="B21" t="s">
        <v>46</v>
      </c>
      <c r="C21" t="s">
        <v>44</v>
      </c>
      <c r="D21" t="str">
        <f t="shared" si="0"/>
        <v>Fresh</v>
      </c>
      <c r="E21">
        <v>60</v>
      </c>
      <c r="F21" s="3">
        <f>Table1[[#This Row],[Unit Price ₹]]*(1-30%)</f>
        <v>42</v>
      </c>
    </row>
    <row r="22" spans="1:6" x14ac:dyDescent="0.25">
      <c r="A22" t="s">
        <v>47</v>
      </c>
      <c r="B22" t="s">
        <v>48</v>
      </c>
      <c r="C22" t="s">
        <v>44</v>
      </c>
      <c r="D22" t="str">
        <f t="shared" si="0"/>
        <v>Purely</v>
      </c>
      <c r="E22">
        <v>120</v>
      </c>
      <c r="F22" s="3">
        <f>Table1[[#This Row],[Unit Price ₹]]*(1-30%)</f>
        <v>84</v>
      </c>
    </row>
    <row r="23" spans="1:6" x14ac:dyDescent="0.25">
      <c r="A23" t="s">
        <v>49</v>
      </c>
      <c r="B23" t="s">
        <v>50</v>
      </c>
      <c r="C23" t="s">
        <v>44</v>
      </c>
      <c r="D23" t="str">
        <f t="shared" si="0"/>
        <v>Purely</v>
      </c>
      <c r="E23">
        <v>149</v>
      </c>
      <c r="F23" s="3">
        <f>Table1[[#This Row],[Unit Price ₹]]*(1-30%)</f>
        <v>104.3</v>
      </c>
    </row>
    <row r="24" spans="1:6" x14ac:dyDescent="0.25">
      <c r="A24" t="s">
        <v>51</v>
      </c>
      <c r="B24" t="s">
        <v>52</v>
      </c>
      <c r="C24" t="s">
        <v>44</v>
      </c>
      <c r="D24" t="str">
        <f t="shared" si="0"/>
        <v>Purely</v>
      </c>
      <c r="E24">
        <v>220</v>
      </c>
      <c r="F24" s="3">
        <f>Table1[[#This Row],[Unit Price ₹]]*(1-30%)</f>
        <v>154</v>
      </c>
    </row>
    <row r="25" spans="1:6" x14ac:dyDescent="0.25">
      <c r="A25" t="s">
        <v>53</v>
      </c>
      <c r="B25" t="s">
        <v>54</v>
      </c>
      <c r="C25" t="s">
        <v>44</v>
      </c>
      <c r="D25" t="str">
        <f t="shared" si="0"/>
        <v>Fresh</v>
      </c>
      <c r="E25">
        <v>50</v>
      </c>
      <c r="F25" s="3">
        <f>Table1[[#This Row],[Unit Price ₹]]*(1-30%)</f>
        <v>35</v>
      </c>
    </row>
    <row r="26" spans="1:6" x14ac:dyDescent="0.25">
      <c r="A26" t="s">
        <v>55</v>
      </c>
      <c r="B26" t="s">
        <v>56</v>
      </c>
      <c r="C26" t="s">
        <v>44</v>
      </c>
      <c r="D26" t="str">
        <f t="shared" si="0"/>
        <v>Fresh</v>
      </c>
      <c r="E26">
        <v>30</v>
      </c>
      <c r="F26" s="3">
        <f>Table1[[#This Row],[Unit Price ₹]]*(1-30%)</f>
        <v>21</v>
      </c>
    </row>
    <row r="27" spans="1:6" x14ac:dyDescent="0.25">
      <c r="A27" t="s">
        <v>57</v>
      </c>
      <c r="B27" t="s">
        <v>58</v>
      </c>
      <c r="C27" t="s">
        <v>44</v>
      </c>
      <c r="D27" t="str">
        <f t="shared" si="0"/>
        <v>Fresh</v>
      </c>
      <c r="E27">
        <v>45</v>
      </c>
      <c r="F27" s="3">
        <f>Table1[[#This Row],[Unit Price ₹]]*(1-30%)</f>
        <v>31.499999999999996</v>
      </c>
    </row>
    <row r="28" spans="1:6" x14ac:dyDescent="0.25">
      <c r="A28" t="s">
        <v>59</v>
      </c>
      <c r="B28" t="s">
        <v>60</v>
      </c>
      <c r="C28" t="s">
        <v>44</v>
      </c>
      <c r="D28" t="str">
        <f t="shared" si="0"/>
        <v>Purely</v>
      </c>
      <c r="E28">
        <v>99</v>
      </c>
      <c r="F28" s="3">
        <f>Table1[[#This Row],[Unit Price ₹]]*(1-30%)</f>
        <v>69.3</v>
      </c>
    </row>
    <row r="29" spans="1:6" x14ac:dyDescent="0.25">
      <c r="A29" t="s">
        <v>61</v>
      </c>
      <c r="B29" t="s">
        <v>62</v>
      </c>
      <c r="C29" t="s">
        <v>44</v>
      </c>
      <c r="D29" t="str">
        <f t="shared" si="0"/>
        <v>Purely</v>
      </c>
      <c r="E29">
        <v>115</v>
      </c>
      <c r="F29" s="3">
        <f>Table1[[#This Row],[Unit Price ₹]]*(1-30%)</f>
        <v>80.5</v>
      </c>
    </row>
    <row r="30" spans="1:6" x14ac:dyDescent="0.25">
      <c r="A30" t="s">
        <v>63</v>
      </c>
      <c r="B30" t="s">
        <v>64</v>
      </c>
      <c r="C30" t="s">
        <v>65</v>
      </c>
      <c r="D30" t="str">
        <f t="shared" si="0"/>
        <v>Fresh</v>
      </c>
      <c r="E30">
        <v>125</v>
      </c>
      <c r="F30" s="3">
        <f>Table1[[#This Row],[Unit Price ₹]]*(1-30%)</f>
        <v>87.5</v>
      </c>
    </row>
    <row r="31" spans="1:6" x14ac:dyDescent="0.25">
      <c r="A31" t="s">
        <v>66</v>
      </c>
      <c r="B31" t="s">
        <v>67</v>
      </c>
      <c r="C31" t="s">
        <v>65</v>
      </c>
      <c r="D31" t="str">
        <f t="shared" si="0"/>
        <v>Fresh</v>
      </c>
      <c r="E31">
        <v>99</v>
      </c>
      <c r="F31" s="3">
        <f>Table1[[#This Row],[Unit Price ₹]]*(1-30%)</f>
        <v>69.3</v>
      </c>
    </row>
    <row r="32" spans="1:6" x14ac:dyDescent="0.25">
      <c r="A32" t="s">
        <v>68</v>
      </c>
      <c r="B32" t="s">
        <v>69</v>
      </c>
      <c r="C32" t="s">
        <v>65</v>
      </c>
      <c r="D32" t="str">
        <f t="shared" si="0"/>
        <v>Fresh</v>
      </c>
      <c r="E32">
        <v>115</v>
      </c>
      <c r="F32" s="3">
        <f>Table1[[#This Row],[Unit Price ₹]]*(1-30%)</f>
        <v>80.5</v>
      </c>
    </row>
    <row r="33" spans="1:6" x14ac:dyDescent="0.25">
      <c r="A33" t="s">
        <v>70</v>
      </c>
      <c r="B33" t="s">
        <v>71</v>
      </c>
      <c r="C33" t="s">
        <v>65</v>
      </c>
      <c r="D33" t="str">
        <f t="shared" si="0"/>
        <v>Fresh</v>
      </c>
      <c r="E33">
        <v>120</v>
      </c>
      <c r="F33" s="3">
        <f>Table1[[#This Row],[Unit Price ₹]]*(1-30%)</f>
        <v>84</v>
      </c>
    </row>
    <row r="34" spans="1:6" x14ac:dyDescent="0.25">
      <c r="A34" t="s">
        <v>72</v>
      </c>
      <c r="B34" t="s">
        <v>73</v>
      </c>
      <c r="C34" t="s">
        <v>65</v>
      </c>
      <c r="D34" t="str">
        <f t="shared" si="0"/>
        <v>Purely</v>
      </c>
      <c r="E34">
        <v>249</v>
      </c>
      <c r="F34" s="3">
        <f>Table1[[#This Row],[Unit Price ₹]]*(1-30%)</f>
        <v>174.29999999999998</v>
      </c>
    </row>
    <row r="35" spans="1:6" x14ac:dyDescent="0.25">
      <c r="A35" t="s">
        <v>74</v>
      </c>
      <c r="B35" t="s">
        <v>75</v>
      </c>
      <c r="C35" t="s">
        <v>65</v>
      </c>
      <c r="D35" t="str">
        <f t="shared" si="0"/>
        <v>Purely</v>
      </c>
      <c r="E35">
        <v>275</v>
      </c>
      <c r="F35" s="3">
        <f>Table1[[#This Row],[Unit Price ₹]]*(1-30%)</f>
        <v>192.5</v>
      </c>
    </row>
    <row r="36" spans="1:6" x14ac:dyDescent="0.25">
      <c r="A36" t="s">
        <v>76</v>
      </c>
      <c r="B36" t="s">
        <v>77</v>
      </c>
      <c r="C36" t="s">
        <v>65</v>
      </c>
      <c r="D36" t="str">
        <f t="shared" si="0"/>
        <v>Fresh</v>
      </c>
      <c r="E36">
        <v>160</v>
      </c>
      <c r="F36" s="3">
        <f>Table1[[#This Row],[Unit Price ₹]]*(1-30%)</f>
        <v>112</v>
      </c>
    </row>
    <row r="37" spans="1:6" x14ac:dyDescent="0.25">
      <c r="A37" t="s">
        <v>78</v>
      </c>
      <c r="B37" t="s">
        <v>79</v>
      </c>
      <c r="C37" t="s">
        <v>65</v>
      </c>
      <c r="D37" t="str">
        <f t="shared" si="0"/>
        <v>Fresh</v>
      </c>
      <c r="E37">
        <v>210</v>
      </c>
      <c r="F37" s="3">
        <f>Table1[[#This Row],[Unit Price ₹]]*(1-30%)</f>
        <v>147</v>
      </c>
    </row>
    <row r="38" spans="1:6" x14ac:dyDescent="0.25">
      <c r="A38" t="s">
        <v>80</v>
      </c>
      <c r="B38" t="s">
        <v>81</v>
      </c>
      <c r="C38" t="s">
        <v>65</v>
      </c>
      <c r="D38" t="str">
        <f t="shared" si="0"/>
        <v>Fresh</v>
      </c>
      <c r="E38">
        <v>150</v>
      </c>
      <c r="F38" s="3">
        <f>Table1[[#This Row],[Unit Price ₹]]*(1-30%)</f>
        <v>105</v>
      </c>
    </row>
    <row r="39" spans="1:6" x14ac:dyDescent="0.25">
      <c r="A39" t="s">
        <v>82</v>
      </c>
      <c r="B39" t="s">
        <v>83</v>
      </c>
      <c r="C39" t="s">
        <v>65</v>
      </c>
      <c r="D39" t="str">
        <f t="shared" si="0"/>
        <v>Purely</v>
      </c>
      <c r="E39">
        <v>349</v>
      </c>
      <c r="F39" s="3">
        <f>Table1[[#This Row],[Unit Price ₹]]*(1-30%)</f>
        <v>244.29999999999998</v>
      </c>
    </row>
    <row r="40" spans="1:6" x14ac:dyDescent="0.25">
      <c r="A40" t="s">
        <v>84</v>
      </c>
      <c r="B40" t="s">
        <v>85</v>
      </c>
      <c r="C40" t="s">
        <v>65</v>
      </c>
      <c r="D40" t="str">
        <f t="shared" si="0"/>
        <v>Purely</v>
      </c>
      <c r="E40">
        <v>399</v>
      </c>
      <c r="F40" s="3">
        <f>Table1[[#This Row],[Unit Price ₹]]*(1-30%)</f>
        <v>279.29999999999995</v>
      </c>
    </row>
    <row r="41" spans="1:6" x14ac:dyDescent="0.25">
      <c r="A41" t="s">
        <v>86</v>
      </c>
      <c r="B41" t="s">
        <v>87</v>
      </c>
      <c r="C41" t="s">
        <v>65</v>
      </c>
      <c r="D41" t="str">
        <f t="shared" si="0"/>
        <v>Purely</v>
      </c>
      <c r="E41">
        <v>599</v>
      </c>
      <c r="F41" s="3">
        <f>Table1[[#This Row],[Unit Price ₹]]*(1-30%)</f>
        <v>419.29999999999995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B21" sqref="B21"/>
    </sheetView>
  </sheetViews>
  <sheetFormatPr defaultColWidth="12.42578125" defaultRowHeight="15" x14ac:dyDescent="0.25"/>
  <cols>
    <col min="2" max="2" width="24.42578125" style="8" customWidth="1"/>
    <col min="4" max="4" width="15.140625" style="8" customWidth="1"/>
    <col min="5" max="5" width="12.42578125" style="3" customWidth="1"/>
    <col min="6" max="6" width="12.42578125" style="5" customWidth="1"/>
  </cols>
  <sheetData>
    <row r="1" spans="1:6" x14ac:dyDescent="0.25">
      <c r="A1" s="7" t="s">
        <v>88</v>
      </c>
      <c r="B1" s="7" t="s">
        <v>89</v>
      </c>
      <c r="C1" s="7" t="s">
        <v>90</v>
      </c>
      <c r="D1" s="7" t="s">
        <v>91</v>
      </c>
      <c r="E1" s="2" t="s">
        <v>92</v>
      </c>
      <c r="F1" s="4" t="s">
        <v>93</v>
      </c>
    </row>
    <row r="2" spans="1:6" x14ac:dyDescent="0.25">
      <c r="A2" s="1" t="s">
        <v>94</v>
      </c>
      <c r="B2" t="s">
        <v>95</v>
      </c>
      <c r="C2" t="s">
        <v>96</v>
      </c>
      <c r="D2">
        <v>5</v>
      </c>
      <c r="E2" s="3">
        <v>4.5</v>
      </c>
      <c r="F2" s="5">
        <v>0.05</v>
      </c>
    </row>
    <row r="3" spans="1:6" x14ac:dyDescent="0.25">
      <c r="A3" s="1" t="s">
        <v>97</v>
      </c>
      <c r="B3" s="1" t="s">
        <v>98</v>
      </c>
      <c r="C3" t="s">
        <v>99</v>
      </c>
      <c r="D3">
        <v>7</v>
      </c>
      <c r="E3" s="3">
        <v>4.2</v>
      </c>
      <c r="F3" s="5">
        <v>0.03</v>
      </c>
    </row>
    <row r="4" spans="1:6" x14ac:dyDescent="0.25">
      <c r="A4" s="1" t="s">
        <v>100</v>
      </c>
      <c r="B4" s="1" t="s">
        <v>101</v>
      </c>
      <c r="C4" t="s">
        <v>102</v>
      </c>
      <c r="D4">
        <v>8</v>
      </c>
      <c r="E4" s="3">
        <v>4.8</v>
      </c>
      <c r="F4" s="5">
        <v>0.05</v>
      </c>
    </row>
    <row r="5" spans="1:6" ht="15" customHeight="1" x14ac:dyDescent="0.25">
      <c r="A5" s="1" t="s">
        <v>103</v>
      </c>
      <c r="B5" s="1" t="s">
        <v>104</v>
      </c>
      <c r="C5" t="s">
        <v>105</v>
      </c>
      <c r="D5">
        <v>7</v>
      </c>
      <c r="E5" s="3">
        <v>4.2</v>
      </c>
      <c r="F5" s="5">
        <v>0.02</v>
      </c>
    </row>
    <row r="6" spans="1:6" x14ac:dyDescent="0.25">
      <c r="A6" s="1" t="s">
        <v>106</v>
      </c>
      <c r="B6" s="1" t="s">
        <v>107</v>
      </c>
      <c r="C6" t="s">
        <v>108</v>
      </c>
      <c r="D6">
        <v>4</v>
      </c>
      <c r="E6" s="3">
        <v>4</v>
      </c>
      <c r="F6" s="5">
        <v>0.03</v>
      </c>
    </row>
    <row r="7" spans="1:6" ht="20.25" customHeight="1" x14ac:dyDescent="0.25">
      <c r="A7" s="1" t="s">
        <v>109</v>
      </c>
      <c r="B7" s="1" t="s">
        <v>110</v>
      </c>
      <c r="C7" t="s">
        <v>111</v>
      </c>
      <c r="D7">
        <v>6</v>
      </c>
      <c r="E7" s="3">
        <v>4.5</v>
      </c>
      <c r="F7" s="5">
        <v>0.05</v>
      </c>
    </row>
    <row r="8" spans="1:6" x14ac:dyDescent="0.25">
      <c r="A8" s="1" t="s">
        <v>112</v>
      </c>
      <c r="B8" s="1" t="s">
        <v>113</v>
      </c>
      <c r="C8" t="s">
        <v>114</v>
      </c>
      <c r="D8">
        <v>5</v>
      </c>
      <c r="E8" s="3">
        <v>4.2</v>
      </c>
      <c r="F8" s="5">
        <v>0.01</v>
      </c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0" sqref="B10"/>
    </sheetView>
  </sheetViews>
  <sheetFormatPr defaultRowHeight="15" x14ac:dyDescent="0.25"/>
  <cols>
    <col min="1" max="2" width="11.28515625" style="8" bestFit="1" customWidth="1"/>
    <col min="3" max="3" width="10" style="8" bestFit="1" customWidth="1"/>
    <col min="4" max="4" width="8.42578125" style="8" bestFit="1" customWidth="1"/>
  </cols>
  <sheetData>
    <row r="1" spans="1:4" ht="30" customHeight="1" x14ac:dyDescent="0.25">
      <c r="A1" s="7" t="s">
        <v>115</v>
      </c>
      <c r="B1" s="7" t="s">
        <v>116</v>
      </c>
      <c r="C1" s="7" t="s">
        <v>90</v>
      </c>
      <c r="D1" s="7" t="s">
        <v>117</v>
      </c>
    </row>
    <row r="2" spans="1:4" ht="30" customHeight="1" x14ac:dyDescent="0.25">
      <c r="A2" s="1" t="s">
        <v>118</v>
      </c>
      <c r="B2" s="1" t="s">
        <v>119</v>
      </c>
      <c r="C2" s="1" t="s">
        <v>99</v>
      </c>
      <c r="D2" s="1">
        <v>10000</v>
      </c>
    </row>
    <row r="3" spans="1:4" x14ac:dyDescent="0.25">
      <c r="A3" s="1" t="s">
        <v>120</v>
      </c>
      <c r="B3" s="1" t="s">
        <v>121</v>
      </c>
      <c r="C3" s="1" t="s">
        <v>108</v>
      </c>
      <c r="D3" s="1">
        <v>8000</v>
      </c>
    </row>
    <row r="4" spans="1:4" ht="30" customHeight="1" x14ac:dyDescent="0.25">
      <c r="A4" s="1" t="s">
        <v>122</v>
      </c>
      <c r="B4" s="1" t="s">
        <v>123</v>
      </c>
      <c r="C4" s="1" t="s">
        <v>124</v>
      </c>
      <c r="D4" s="1">
        <v>12000</v>
      </c>
    </row>
    <row r="5" spans="1:4" ht="30" customHeight="1" x14ac:dyDescent="0.25">
      <c r="A5" s="1" t="s">
        <v>125</v>
      </c>
      <c r="B5" s="1" t="s">
        <v>126</v>
      </c>
      <c r="C5" s="1" t="s">
        <v>127</v>
      </c>
      <c r="D5" s="1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topLeftCell="C1" workbookViewId="0">
      <selection activeCell="K4" sqref="K4"/>
    </sheetView>
  </sheetViews>
  <sheetFormatPr defaultColWidth="14" defaultRowHeight="15" x14ac:dyDescent="0.25"/>
  <cols>
    <col min="1" max="1" width="13" style="8" bestFit="1" customWidth="1"/>
    <col min="2" max="2" width="18" style="11" bestFit="1" customWidth="1"/>
    <col min="3" max="3" width="15.28515625" style="12" customWidth="1"/>
    <col min="4" max="4" width="14.7109375" style="8" bestFit="1" customWidth="1"/>
    <col min="5" max="5" width="62.42578125" style="8" bestFit="1" customWidth="1"/>
    <col min="6" max="6" width="18.28515625" style="8" bestFit="1" customWidth="1"/>
    <col min="7" max="7" width="13.28515625" style="8" bestFit="1" customWidth="1"/>
    <col min="8" max="8" width="14.28515625" style="8" bestFit="1" customWidth="1"/>
    <col min="9" max="9" width="17.85546875" style="8" bestFit="1" customWidth="1"/>
    <col min="10" max="10" width="18.5703125" style="8" bestFit="1" customWidth="1"/>
  </cols>
  <sheetData>
    <row r="1" spans="1:10" x14ac:dyDescent="0.25">
      <c r="A1" s="7" t="s">
        <v>128</v>
      </c>
      <c r="B1" s="13" t="s">
        <v>129</v>
      </c>
      <c r="C1" s="14" t="s">
        <v>130</v>
      </c>
      <c r="D1" s="7" t="s">
        <v>131</v>
      </c>
      <c r="E1" s="7" t="s">
        <v>1</v>
      </c>
      <c r="F1" s="7" t="s">
        <v>115</v>
      </c>
      <c r="G1" s="7" t="s">
        <v>132</v>
      </c>
      <c r="H1" s="7" t="s">
        <v>133</v>
      </c>
      <c r="I1" s="7" t="s">
        <v>134</v>
      </c>
      <c r="J1" s="7" t="s">
        <v>135</v>
      </c>
    </row>
    <row r="2" spans="1:10" x14ac:dyDescent="0.25">
      <c r="A2" t="str">
        <f t="shared" ref="A2:A65" ca="1" si="0">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</f>
        <v>GCFFNA5X</v>
      </c>
      <c r="B2" s="11">
        <v>45677</v>
      </c>
      <c r="C2" s="12" t="str">
        <f t="shared" ref="C2:C65" si="1">TEXT(B2,"mmm")</f>
        <v>Jan</v>
      </c>
      <c r="D2" t="s">
        <v>4</v>
      </c>
      <c r="E2" t="str">
        <f>VLOOKUP(D2,Products!$A:$B,2,FALSE)</f>
        <v>Fresh Anti-Dandruff Cool Mint Shampoo</v>
      </c>
      <c r="F2" t="str">
        <f ca="1">INDEX({"W101","W102","W103","W104"},RANDBETWEEN(1,4))</f>
        <v>W103</v>
      </c>
      <c r="G2">
        <v>65</v>
      </c>
      <c r="H2">
        <f>VLOOKUP(D2,Products!$A:$F,5,FALSE)</f>
        <v>199</v>
      </c>
      <c r="I2">
        <f t="shared" ref="I2:I65" si="2">H2*G2</f>
        <v>12935</v>
      </c>
      <c r="J2" t="str">
        <f ca="1">INDEX({"Delivered","Delayed"},RANDBETWEEN(1,2))</f>
        <v>Delayed</v>
      </c>
    </row>
    <row r="3" spans="1:10" x14ac:dyDescent="0.25">
      <c r="A3" t="str">
        <f t="shared" ca="1" si="0"/>
        <v>5G3J100X</v>
      </c>
      <c r="B3" s="11">
        <v>45678</v>
      </c>
      <c r="C3" s="12" t="str">
        <f t="shared" si="1"/>
        <v>Jan</v>
      </c>
      <c r="D3" t="s">
        <v>7</v>
      </c>
      <c r="E3" t="str">
        <f>VLOOKUP(D3,Products!$A:$B,2,FALSE)</f>
        <v>Fresh Smooth &amp; Shiny Daily Silky Shampoo</v>
      </c>
      <c r="F3" t="str">
        <f ca="1">INDEX({"W101","W102","W103","W104"},RANDBETWEEN(1,4))</f>
        <v>W101</v>
      </c>
      <c r="G3">
        <v>87</v>
      </c>
      <c r="H3">
        <f>VLOOKUP(D3,Products!$A:$F,5,FALSE)</f>
        <v>185</v>
      </c>
      <c r="I3">
        <f t="shared" si="2"/>
        <v>16095</v>
      </c>
      <c r="J3" t="str">
        <f ca="1">INDEX({"Delivered","Delayed"},RANDBETWEEN(1,2))</f>
        <v>Delayed</v>
      </c>
    </row>
    <row r="4" spans="1:10" x14ac:dyDescent="0.25">
      <c r="A4" t="str">
        <f t="shared" ca="1" si="0"/>
        <v>UDZZ8CYR</v>
      </c>
      <c r="B4" s="11">
        <v>45679</v>
      </c>
      <c r="C4" s="12" t="str">
        <f t="shared" si="1"/>
        <v>Jan</v>
      </c>
      <c r="D4" t="s">
        <v>53</v>
      </c>
      <c r="E4" t="str">
        <f>VLOOKUP(D4,Products!$A:$B,2,FALSE)</f>
        <v>Fresh Classic Salted Potato Chips (Party Pack)</v>
      </c>
      <c r="F4" t="str">
        <f ca="1">INDEX({"W101","W102","W103","W104"},RANDBETWEEN(1,4))</f>
        <v>W104</v>
      </c>
      <c r="G4">
        <v>184</v>
      </c>
      <c r="H4">
        <f>VLOOKUP(D4,Products!$A:$F,5,FALSE)</f>
        <v>50</v>
      </c>
      <c r="I4">
        <f t="shared" si="2"/>
        <v>9200</v>
      </c>
      <c r="J4" t="str">
        <f ca="1">INDEX({"Delivered","Delayed"},RANDBETWEEN(1,2))</f>
        <v>Delayed</v>
      </c>
    </row>
    <row r="5" spans="1:10" x14ac:dyDescent="0.25">
      <c r="A5" t="str">
        <f t="shared" ca="1" si="0"/>
        <v>VV6DPO12</v>
      </c>
      <c r="B5" s="11">
        <v>45703</v>
      </c>
      <c r="C5" s="12" t="str">
        <f t="shared" si="1"/>
        <v>Feb</v>
      </c>
      <c r="D5" t="s">
        <v>11</v>
      </c>
      <c r="E5" t="str">
        <f>VLOOKUP(D5,Products!$A:$B,2,FALSE)</f>
        <v>Purely Apple Cider Vinegar Hair Therapy Shampoo</v>
      </c>
      <c r="F5" t="str">
        <f ca="1">INDEX({"W101","W102","W103","W104"},RANDBETWEEN(1,4))</f>
        <v>W103</v>
      </c>
      <c r="G5">
        <v>144</v>
      </c>
      <c r="H5">
        <f>VLOOKUP(D5,Products!$A:$F,5,FALSE)</f>
        <v>399</v>
      </c>
      <c r="I5">
        <f t="shared" si="2"/>
        <v>57456</v>
      </c>
      <c r="J5" t="str">
        <f ca="1">INDEX({"Delivered","Delayed"},RANDBETWEEN(1,2))</f>
        <v>Delivered</v>
      </c>
    </row>
    <row r="6" spans="1:10" x14ac:dyDescent="0.25">
      <c r="A6" t="str">
        <f t="shared" ca="1" si="0"/>
        <v>O7ZBX80D</v>
      </c>
      <c r="B6" s="11">
        <v>45704</v>
      </c>
      <c r="C6" s="12" t="str">
        <f t="shared" si="1"/>
        <v>Feb</v>
      </c>
      <c r="D6" t="s">
        <v>13</v>
      </c>
      <c r="E6" t="str">
        <f>VLOOKUP(D6,Products!$A:$B,2,FALSE)</f>
        <v>Purely Argan Oil &amp; Moroccan Clay Repair Shampoo</v>
      </c>
      <c r="F6" t="str">
        <f ca="1">INDEX({"W101","W102","W103","W104"},RANDBETWEEN(1,4))</f>
        <v>W101</v>
      </c>
      <c r="G6">
        <v>131</v>
      </c>
      <c r="H6">
        <f>VLOOKUP(D6,Products!$A:$F,5,FALSE)</f>
        <v>449</v>
      </c>
      <c r="I6">
        <f t="shared" si="2"/>
        <v>58819</v>
      </c>
      <c r="J6" t="str">
        <f ca="1">INDEX({"Delivered","Delayed"},RANDBETWEEN(1,2))</f>
        <v>Delayed</v>
      </c>
    </row>
    <row r="7" spans="1:10" x14ac:dyDescent="0.25">
      <c r="A7" t="str">
        <f t="shared" ca="1" si="0"/>
        <v>I7DBPY4D</v>
      </c>
      <c r="B7" s="11">
        <v>45705</v>
      </c>
      <c r="C7" s="12" t="str">
        <f t="shared" si="1"/>
        <v>Feb</v>
      </c>
      <c r="D7" t="s">
        <v>15</v>
      </c>
      <c r="E7" t="str">
        <f>VLOOKUP(D7,Products!$A:$B,2,FALSE)</f>
        <v>Purely Activated Charcoal Deep Cleanse Men’s Shampoo</v>
      </c>
      <c r="F7" t="str">
        <f ca="1">INDEX({"W101","W102","W103","W104"},RANDBETWEEN(1,4))</f>
        <v>W103</v>
      </c>
      <c r="G7">
        <v>32</v>
      </c>
      <c r="H7">
        <f>VLOOKUP(D7,Products!$A:$F,5,FALSE)</f>
        <v>349</v>
      </c>
      <c r="I7">
        <f t="shared" si="2"/>
        <v>11168</v>
      </c>
      <c r="J7" t="str">
        <f ca="1">INDEX({"Delivered","Delayed"},RANDBETWEEN(1,2))</f>
        <v>Delivered</v>
      </c>
    </row>
    <row r="8" spans="1:10" x14ac:dyDescent="0.25">
      <c r="A8" t="str">
        <f t="shared" ca="1" si="0"/>
        <v>9FH7Y81I</v>
      </c>
      <c r="B8" s="11">
        <v>45706</v>
      </c>
      <c r="C8" s="12" t="str">
        <f t="shared" si="1"/>
        <v>Feb</v>
      </c>
      <c r="D8" t="s">
        <v>17</v>
      </c>
      <c r="E8" t="str">
        <f>VLOOKUP(D8,Products!$A:$B,2,FALSE)</f>
        <v>Purely Fragrance-Free Ultra-Mild Sensitive Scalp Shampoo</v>
      </c>
      <c r="F8" t="str">
        <f ca="1">INDEX({"W101","W102","W103","W104"},RANDBETWEEN(1,4))</f>
        <v>W103</v>
      </c>
      <c r="G8">
        <v>184</v>
      </c>
      <c r="H8">
        <f>VLOOKUP(D8,Products!$A:$F,5,FALSE)</f>
        <v>375</v>
      </c>
      <c r="I8">
        <f t="shared" si="2"/>
        <v>69000</v>
      </c>
      <c r="J8" t="str">
        <f ca="1">INDEX({"Delivered","Delayed"},RANDBETWEEN(1,2))</f>
        <v>Delivered</v>
      </c>
    </row>
    <row r="9" spans="1:10" x14ac:dyDescent="0.25">
      <c r="A9" t="str">
        <f t="shared" ca="1" si="0"/>
        <v>UQ2ZHM3H</v>
      </c>
      <c r="B9" s="11">
        <v>45707</v>
      </c>
      <c r="C9" s="12" t="str">
        <f t="shared" si="1"/>
        <v>Feb</v>
      </c>
      <c r="D9" t="s">
        <v>19</v>
      </c>
      <c r="E9" t="str">
        <f>VLOOKUP(D9,Products!$A:$B,2,FALSE)</f>
        <v>Fresh Vitamin E &amp; Aloe Vera Moisturizing Bar</v>
      </c>
      <c r="F9" t="str">
        <f ca="1">INDEX({"W101","W102","W103","W104"},RANDBETWEEN(1,4))</f>
        <v>W104</v>
      </c>
      <c r="G9">
        <v>175</v>
      </c>
      <c r="H9">
        <f>VLOOKUP(D9,Products!$A:$F,5,FALSE)</f>
        <v>45</v>
      </c>
      <c r="I9">
        <f t="shared" si="2"/>
        <v>7875</v>
      </c>
      <c r="J9" t="str">
        <f ca="1">INDEX({"Delivered","Delayed"},RANDBETWEEN(1,2))</f>
        <v>Delivered</v>
      </c>
    </row>
    <row r="10" spans="1:10" x14ac:dyDescent="0.25">
      <c r="A10" t="str">
        <f t="shared" ca="1" si="0"/>
        <v>N0K6HCA8</v>
      </c>
      <c r="B10" s="11">
        <v>45708</v>
      </c>
      <c r="C10" s="12" t="str">
        <f t="shared" si="1"/>
        <v>Feb</v>
      </c>
      <c r="D10" t="s">
        <v>21</v>
      </c>
      <c r="E10" t="str">
        <f>VLOOKUP(D10,Products!$A:$B,2,FALSE)</f>
        <v>Fresh Refreshing Lemon &amp; Neem Germ Protection Soap</v>
      </c>
      <c r="F10" t="str">
        <f ca="1">INDEX({"W101","W102","W103","W104"},RANDBETWEEN(1,4))</f>
        <v>W103</v>
      </c>
      <c r="G10">
        <v>125</v>
      </c>
      <c r="H10">
        <f>VLOOKUP(D10,Products!$A:$F,5,FALSE)</f>
        <v>40</v>
      </c>
      <c r="I10">
        <f t="shared" si="2"/>
        <v>5000</v>
      </c>
      <c r="J10" t="str">
        <f ca="1">INDEX({"Delivered","Delayed"},RANDBETWEEN(1,2))</f>
        <v>Delivered</v>
      </c>
    </row>
    <row r="11" spans="1:10" x14ac:dyDescent="0.25">
      <c r="A11" t="str">
        <f t="shared" ca="1" si="0"/>
        <v>M8IRE9F6</v>
      </c>
      <c r="B11" s="11">
        <v>45709</v>
      </c>
      <c r="C11" s="12" t="str">
        <f t="shared" si="1"/>
        <v>Feb</v>
      </c>
      <c r="D11" t="s">
        <v>23</v>
      </c>
      <c r="E11" t="str">
        <f>VLOOKUP(D11,Products!$A:$B,2,FALSE)</f>
        <v>Fresh Rose Petal Cream Bathing Bar</v>
      </c>
      <c r="F11" t="str">
        <f ca="1">INDEX({"W101","W102","W103","W104"},RANDBETWEEN(1,4))</f>
        <v>W101</v>
      </c>
      <c r="G11">
        <v>187</v>
      </c>
      <c r="H11">
        <f>VLOOKUP(D11,Products!$A:$F,5,FALSE)</f>
        <v>45</v>
      </c>
      <c r="I11">
        <f t="shared" si="2"/>
        <v>8415</v>
      </c>
      <c r="J11" t="str">
        <f ca="1">INDEX({"Delivered","Delayed"},RANDBETWEEN(1,2))</f>
        <v>Delivered</v>
      </c>
    </row>
    <row r="12" spans="1:10" x14ac:dyDescent="0.25">
      <c r="A12" t="str">
        <f t="shared" ca="1" si="0"/>
        <v>GGUOMOVF</v>
      </c>
      <c r="B12" s="11">
        <v>45710</v>
      </c>
      <c r="C12" s="12" t="str">
        <f t="shared" si="1"/>
        <v>Feb</v>
      </c>
      <c r="D12" t="s">
        <v>25</v>
      </c>
      <c r="E12" t="str">
        <f>VLOOKUP(D12,Products!$A:$B,2,FALSE)</f>
        <v>Purely Handcrafted Oatmeal &amp; Honey Exfoliating Scrub Soap</v>
      </c>
      <c r="F12" t="str">
        <f ca="1">INDEX({"W101","W102","W103","W104"},RANDBETWEEN(1,4))</f>
        <v>W104</v>
      </c>
      <c r="G12">
        <v>176</v>
      </c>
      <c r="H12">
        <f>VLOOKUP(D12,Products!$A:$F,5,FALSE)</f>
        <v>125</v>
      </c>
      <c r="I12">
        <f t="shared" si="2"/>
        <v>22000</v>
      </c>
      <c r="J12" t="str">
        <f ca="1">INDEX({"Delivered","Delayed"},RANDBETWEEN(1,2))</f>
        <v>Delayed</v>
      </c>
    </row>
    <row r="13" spans="1:10" x14ac:dyDescent="0.25">
      <c r="A13" t="str">
        <f t="shared" ca="1" si="0"/>
        <v>1ONZLK1R</v>
      </c>
      <c r="B13" s="11">
        <v>45711</v>
      </c>
      <c r="C13" s="12" t="str">
        <f t="shared" si="1"/>
        <v>Feb</v>
      </c>
      <c r="D13" t="s">
        <v>27</v>
      </c>
      <c r="E13" t="str">
        <f>VLOOKUP(D13,Products!$A:$B,2,FALSE)</f>
        <v>Purely Tea Tree &amp; Salicylic Acid Acne-Control Bar</v>
      </c>
      <c r="F13" t="str">
        <f ca="1">INDEX({"W101","W102","W103","W104"},RANDBETWEEN(1,4))</f>
        <v>W101</v>
      </c>
      <c r="G13">
        <v>148</v>
      </c>
      <c r="H13">
        <f>VLOOKUP(D13,Products!$A:$F,5,FALSE)</f>
        <v>140</v>
      </c>
      <c r="I13">
        <f t="shared" si="2"/>
        <v>20720</v>
      </c>
      <c r="J13" t="str">
        <f ca="1">INDEX({"Delivered","Delayed"},RANDBETWEEN(1,2))</f>
        <v>Delivered</v>
      </c>
    </row>
    <row r="14" spans="1:10" x14ac:dyDescent="0.25">
      <c r="A14" t="str">
        <f t="shared" ca="1" si="0"/>
        <v>SL47A6A3</v>
      </c>
      <c r="B14" s="11">
        <v>45745</v>
      </c>
      <c r="C14" s="12" t="str">
        <f t="shared" si="1"/>
        <v>Mar</v>
      </c>
      <c r="D14" t="s">
        <v>29</v>
      </c>
      <c r="E14" t="str">
        <f>VLOOKUP(D14,Products!$A:$B,2,FALSE)</f>
        <v>Fresh Lemon Power Detergent Powder (Tough Stain Remover)</v>
      </c>
      <c r="F14" t="str">
        <f ca="1">INDEX({"W101","W102","W103","W104"},RANDBETWEEN(1,4))</f>
        <v>W101</v>
      </c>
      <c r="G14">
        <v>23</v>
      </c>
      <c r="H14">
        <f>VLOOKUP(D14,Products!$A:$F,5,FALSE)</f>
        <v>149</v>
      </c>
      <c r="I14">
        <f t="shared" si="2"/>
        <v>3427</v>
      </c>
      <c r="J14" t="str">
        <f ca="1">INDEX({"Delivered","Delayed"},RANDBETWEEN(1,2))</f>
        <v>Delayed</v>
      </c>
    </row>
    <row r="15" spans="1:10" x14ac:dyDescent="0.25">
      <c r="A15" t="str">
        <f t="shared" ca="1" si="0"/>
        <v>3RIYBB7H</v>
      </c>
      <c r="B15" s="11">
        <v>45863</v>
      </c>
      <c r="C15" s="12" t="str">
        <f t="shared" si="1"/>
        <v>Jul</v>
      </c>
      <c r="D15" t="s">
        <v>32</v>
      </c>
      <c r="E15" t="str">
        <f>VLOOKUP(D15,Products!$A:$B,2,FALSE)</f>
        <v>Fresh Lavender Fields Liquid Detergent (Front &amp; Top Load)</v>
      </c>
      <c r="F15" t="str">
        <f ca="1">INDEX({"W101","W102","W103","W104"},RANDBETWEEN(1,4))</f>
        <v>W103</v>
      </c>
      <c r="G15">
        <v>132</v>
      </c>
      <c r="H15">
        <f>VLOOKUP(D15,Products!$A:$F,5,FALSE)</f>
        <v>249</v>
      </c>
      <c r="I15">
        <f t="shared" si="2"/>
        <v>32868</v>
      </c>
      <c r="J15" t="str">
        <f ca="1">INDEX({"Delivered","Delayed"},RANDBETWEEN(1,2))</f>
        <v>Delayed</v>
      </c>
    </row>
    <row r="16" spans="1:10" x14ac:dyDescent="0.25">
      <c r="A16" t="str">
        <f t="shared" ca="1" si="0"/>
        <v>PRRO4SB4</v>
      </c>
      <c r="B16" s="11">
        <v>45969</v>
      </c>
      <c r="C16" s="12" t="str">
        <f t="shared" si="1"/>
        <v>Nov</v>
      </c>
      <c r="D16" t="s">
        <v>34</v>
      </c>
      <c r="E16" t="str">
        <f>VLOOKUP(D16,Products!$A:$B,2,FALSE)</f>
        <v>Fresh Fabric Conditioner &amp; Softener (Morning Dew)</v>
      </c>
      <c r="F16" t="str">
        <f ca="1">INDEX({"W101","W102","W103","W104"},RANDBETWEEN(1,4))</f>
        <v>W101</v>
      </c>
      <c r="G16">
        <v>31</v>
      </c>
      <c r="H16">
        <f>VLOOKUP(D16,Products!$A:$F,5,FALSE)</f>
        <v>180</v>
      </c>
      <c r="I16">
        <f t="shared" si="2"/>
        <v>5580</v>
      </c>
      <c r="J16" t="str">
        <f ca="1">INDEX({"Delivered","Delayed"},RANDBETWEEN(1,2))</f>
        <v>Delivered</v>
      </c>
    </row>
    <row r="17" spans="1:10" x14ac:dyDescent="0.25">
      <c r="A17" t="str">
        <f t="shared" ca="1" si="0"/>
        <v>9USSR4ZY</v>
      </c>
      <c r="B17" s="11">
        <v>45750</v>
      </c>
      <c r="C17" s="12" t="str">
        <f t="shared" si="1"/>
        <v>Apr</v>
      </c>
      <c r="D17" t="s">
        <v>36</v>
      </c>
      <c r="E17" t="str">
        <f>VLOOKUP(D17,Products!$A:$B,2,FALSE)</f>
        <v>Purely Plant-Based Baby Laundry Detergent (Hypoallergenic)</v>
      </c>
      <c r="F17" t="str">
        <f ca="1">INDEX({"W101","W102","W103","W104"},RANDBETWEEN(1,4))</f>
        <v>W101</v>
      </c>
      <c r="G17">
        <v>159</v>
      </c>
      <c r="H17">
        <f>VLOOKUP(D17,Products!$A:$F,5,FALSE)</f>
        <v>425</v>
      </c>
      <c r="I17">
        <f t="shared" si="2"/>
        <v>67575</v>
      </c>
      <c r="J17" t="str">
        <f ca="1">INDEX({"Delivered","Delayed"},RANDBETWEEN(1,2))</f>
        <v>Delivered</v>
      </c>
    </row>
    <row r="18" spans="1:10" x14ac:dyDescent="0.25">
      <c r="A18" t="str">
        <f t="shared" ca="1" si="0"/>
        <v>RILRLEZ4</v>
      </c>
      <c r="B18" s="11">
        <v>45945</v>
      </c>
      <c r="C18" s="12" t="str">
        <f t="shared" si="1"/>
        <v>Oct</v>
      </c>
      <c r="D18" t="s">
        <v>38</v>
      </c>
      <c r="E18" t="str">
        <f>VLOOKUP(D18,Products!$A:$B,2,FALSE)</f>
        <v>Purely Eucalyptus Eco-Friendly Detergent Sheets</v>
      </c>
      <c r="F18" t="str">
        <f ca="1">INDEX({"W101","W102","W103","W104"},RANDBETWEEN(1,4))</f>
        <v>W102</v>
      </c>
      <c r="G18">
        <v>63</v>
      </c>
      <c r="H18">
        <f>VLOOKUP(D18,Products!$A:$F,5,FALSE)</f>
        <v>399</v>
      </c>
      <c r="I18">
        <f t="shared" si="2"/>
        <v>25137</v>
      </c>
      <c r="J18" t="str">
        <f ca="1">INDEX({"Delivered","Delayed"},RANDBETWEEN(1,2))</f>
        <v>Delivered</v>
      </c>
    </row>
    <row r="19" spans="1:10" x14ac:dyDescent="0.25">
      <c r="A19" t="str">
        <f t="shared" ca="1" si="0"/>
        <v>9AQU27QU</v>
      </c>
      <c r="B19" s="11">
        <v>45857</v>
      </c>
      <c r="C19" s="12" t="str">
        <f t="shared" si="1"/>
        <v>Jul</v>
      </c>
      <c r="D19" t="s">
        <v>40</v>
      </c>
      <c r="E19" t="str">
        <f>VLOOKUP(D19,Products!$A:$B,2,FALSE)</f>
        <v>Purely Bio-Enzyme Liquid Detergent for Delicate Fabrics (Silk/Wool)</v>
      </c>
      <c r="F19" t="str">
        <f ca="1">INDEX({"W101","W102","W103","W104"},RANDBETWEEN(1,4))</f>
        <v>W102</v>
      </c>
      <c r="G19">
        <v>100</v>
      </c>
      <c r="H19">
        <f>VLOOKUP(D19,Products!$A:$F,5,FALSE)</f>
        <v>499</v>
      </c>
      <c r="I19">
        <f t="shared" si="2"/>
        <v>49900</v>
      </c>
      <c r="J19" t="str">
        <f ca="1">INDEX({"Delivered","Delayed"},RANDBETWEEN(1,2))</f>
        <v>Delayed</v>
      </c>
    </row>
    <row r="20" spans="1:10" x14ac:dyDescent="0.25">
      <c r="A20" t="str">
        <f t="shared" ca="1" si="0"/>
        <v>ZTWJAJUR</v>
      </c>
      <c r="B20" s="11">
        <v>45808</v>
      </c>
      <c r="C20" s="12" t="str">
        <f t="shared" si="1"/>
        <v>May</v>
      </c>
      <c r="D20" t="s">
        <v>42</v>
      </c>
      <c r="E20" t="str">
        <f>VLOOKUP(D20,Products!$A:$B,2,FALSE)</f>
        <v>Fresh Glucose Power Biscuits (Value Pack)</v>
      </c>
      <c r="F20" t="str">
        <f ca="1">INDEX({"W101","W102","W103","W104"},RANDBETWEEN(1,4))</f>
        <v>W104</v>
      </c>
      <c r="G20">
        <v>57</v>
      </c>
      <c r="H20">
        <f>VLOOKUP(D20,Products!$A:$F,5,FALSE)</f>
        <v>40</v>
      </c>
      <c r="I20">
        <f t="shared" si="2"/>
        <v>2280</v>
      </c>
      <c r="J20" t="str">
        <f ca="1">INDEX({"Delivered","Delayed"},RANDBETWEEN(1,2))</f>
        <v>Delayed</v>
      </c>
    </row>
    <row r="21" spans="1:10" x14ac:dyDescent="0.25">
      <c r="A21" t="str">
        <f t="shared" ca="1" si="0"/>
        <v>394O6EAQ</v>
      </c>
      <c r="B21" s="11">
        <v>45854</v>
      </c>
      <c r="C21" s="12" t="str">
        <f t="shared" si="1"/>
        <v>Jul</v>
      </c>
      <c r="D21" t="s">
        <v>45</v>
      </c>
      <c r="E21" t="str">
        <f>VLOOKUP(D21,Products!$A:$B,2,FALSE)</f>
        <v>Fresh Crunchy Choco-Chip Cookies</v>
      </c>
      <c r="F21" t="str">
        <f ca="1">INDEX({"W101","W102","W103","W104"},RANDBETWEEN(1,4))</f>
        <v>W101</v>
      </c>
      <c r="G21">
        <v>172</v>
      </c>
      <c r="H21">
        <f>VLOOKUP(D21,Products!$A:$F,5,FALSE)</f>
        <v>60</v>
      </c>
      <c r="I21">
        <f t="shared" si="2"/>
        <v>10320</v>
      </c>
      <c r="J21" t="str">
        <f ca="1">INDEX({"Delivered","Delayed"},RANDBETWEEN(1,2))</f>
        <v>Delivered</v>
      </c>
    </row>
    <row r="22" spans="1:10" x14ac:dyDescent="0.25">
      <c r="A22" t="str">
        <f t="shared" ca="1" si="0"/>
        <v>ZNHOIGED</v>
      </c>
      <c r="B22" s="11">
        <v>45885</v>
      </c>
      <c r="C22" s="12" t="str">
        <f t="shared" si="1"/>
        <v>Aug</v>
      </c>
      <c r="D22" t="s">
        <v>47</v>
      </c>
      <c r="E22" t="str">
        <f>VLOOKUP(D22,Products!$A:$B,2,FALSE)</f>
        <v>Purely 100% Whole Wheat Digestives (Zero Sugar added)</v>
      </c>
      <c r="F22" t="str">
        <f ca="1">INDEX({"W101","W102","W103","W104"},RANDBETWEEN(1,4))</f>
        <v>W101</v>
      </c>
      <c r="G22">
        <v>144</v>
      </c>
      <c r="H22">
        <f>VLOOKUP(D22,Products!$A:$F,5,FALSE)</f>
        <v>120</v>
      </c>
      <c r="I22">
        <f t="shared" si="2"/>
        <v>17280</v>
      </c>
      <c r="J22" t="str">
        <f ca="1">INDEX({"Delivered","Delayed"},RANDBETWEEN(1,2))</f>
        <v>Delivered</v>
      </c>
    </row>
    <row r="23" spans="1:10" x14ac:dyDescent="0.25">
      <c r="A23" t="str">
        <f t="shared" ca="1" si="0"/>
        <v>EEWVJBUF</v>
      </c>
      <c r="B23" s="11">
        <v>45908</v>
      </c>
      <c r="C23" s="12" t="str">
        <f t="shared" si="1"/>
        <v>Sep</v>
      </c>
      <c r="D23" t="s">
        <v>49</v>
      </c>
      <c r="E23" t="str">
        <f>VLOOKUP(D23,Products!$A:$B,2,FALSE)</f>
        <v>Purely Almond &amp; Chia Seed Millet Oats Biscuits</v>
      </c>
      <c r="F23" t="str">
        <f ca="1">INDEX({"W101","W102","W103","W104"},RANDBETWEEN(1,4))</f>
        <v>W104</v>
      </c>
      <c r="G23">
        <v>32</v>
      </c>
      <c r="H23">
        <f>VLOOKUP(D23,Products!$A:$F,5,FALSE)</f>
        <v>149</v>
      </c>
      <c r="I23">
        <f t="shared" si="2"/>
        <v>4768</v>
      </c>
      <c r="J23" t="str">
        <f ca="1">INDEX({"Delivered","Delayed"},RANDBETWEEN(1,2))</f>
        <v>Delayed</v>
      </c>
    </row>
    <row r="24" spans="1:10" x14ac:dyDescent="0.25">
      <c r="A24" t="str">
        <f t="shared" ca="1" si="0"/>
        <v>VXO18A4Z</v>
      </c>
      <c r="B24" s="11">
        <v>45827</v>
      </c>
      <c r="C24" s="12" t="str">
        <f t="shared" si="1"/>
        <v>Jun</v>
      </c>
      <c r="D24" t="s">
        <v>51</v>
      </c>
      <c r="E24" t="str">
        <f>VLOOKUP(D24,Products!$A:$B,2,FALSE)</f>
        <v>Purely Keto-Friendly Coconut Flour Cookies</v>
      </c>
      <c r="F24" t="str">
        <f ca="1">INDEX({"W101","W102","W103","W104"},RANDBETWEEN(1,4))</f>
        <v>W103</v>
      </c>
      <c r="G24">
        <v>106</v>
      </c>
      <c r="H24">
        <f>VLOOKUP(D24,Products!$A:$F,5,FALSE)</f>
        <v>220</v>
      </c>
      <c r="I24">
        <f t="shared" si="2"/>
        <v>23320</v>
      </c>
      <c r="J24" t="str">
        <f ca="1">INDEX({"Delivered","Delayed"},RANDBETWEEN(1,2))</f>
        <v>Delayed</v>
      </c>
    </row>
    <row r="25" spans="1:10" x14ac:dyDescent="0.25">
      <c r="A25" t="str">
        <f t="shared" ca="1" si="0"/>
        <v>JEM1FUAS</v>
      </c>
      <c r="B25" s="11">
        <v>45958</v>
      </c>
      <c r="C25" s="12" t="str">
        <f t="shared" si="1"/>
        <v>Oct</v>
      </c>
      <c r="D25" t="s">
        <v>49</v>
      </c>
      <c r="E25" t="str">
        <f>VLOOKUP(D25,Products!$A:$B,2,FALSE)</f>
        <v>Purely Almond &amp; Chia Seed Millet Oats Biscuits</v>
      </c>
      <c r="F25" t="str">
        <f ca="1">INDEX({"W101","W102","W103","W104"},RANDBETWEEN(1,4))</f>
        <v>W101</v>
      </c>
      <c r="G25">
        <v>81</v>
      </c>
      <c r="H25">
        <f>VLOOKUP(D25,Products!$A:$F,5,FALSE)</f>
        <v>149</v>
      </c>
      <c r="I25">
        <f t="shared" si="2"/>
        <v>12069</v>
      </c>
      <c r="J25" t="str">
        <f ca="1">INDEX({"Delivered","Delayed"},RANDBETWEEN(1,2))</f>
        <v>Delivered</v>
      </c>
    </row>
    <row r="26" spans="1:10" x14ac:dyDescent="0.25">
      <c r="A26" t="str">
        <f t="shared" ca="1" si="0"/>
        <v>SJ5K7W5V</v>
      </c>
      <c r="B26" s="11">
        <v>45958</v>
      </c>
      <c r="C26" s="12" t="str">
        <f t="shared" si="1"/>
        <v>Oct</v>
      </c>
      <c r="D26" t="s">
        <v>55</v>
      </c>
      <c r="E26" t="str">
        <f>VLOOKUP(D26,Products!$A:$B,2,FALSE)</f>
        <v>Fresh Tangy Tomato Masala Potato Chips</v>
      </c>
      <c r="F26" t="str">
        <f ca="1">INDEX({"W101","W102","W103","W104"},RANDBETWEEN(1,4))</f>
        <v>W101</v>
      </c>
      <c r="G26">
        <v>195</v>
      </c>
      <c r="H26">
        <f>VLOOKUP(D26,Products!$A:$F,5,FALSE)</f>
        <v>30</v>
      </c>
      <c r="I26">
        <f t="shared" si="2"/>
        <v>5850</v>
      </c>
      <c r="J26" t="str">
        <f ca="1">INDEX({"Delivered","Delayed"},RANDBETWEEN(1,2))</f>
        <v>Delayed</v>
      </c>
    </row>
    <row r="27" spans="1:10" x14ac:dyDescent="0.25">
      <c r="A27" t="str">
        <f t="shared" ca="1" si="0"/>
        <v>4R0V9OWF</v>
      </c>
      <c r="B27" s="11">
        <v>45728</v>
      </c>
      <c r="C27" s="12" t="str">
        <f t="shared" si="1"/>
        <v>Mar</v>
      </c>
      <c r="D27" t="s">
        <v>49</v>
      </c>
      <c r="E27" t="str">
        <f>VLOOKUP(D27,Products!$A:$B,2,FALSE)</f>
        <v>Purely Almond &amp; Chia Seed Millet Oats Biscuits</v>
      </c>
      <c r="F27" t="str">
        <f ca="1">INDEX({"W101","W102","W103","W104"},RANDBETWEEN(1,4))</f>
        <v>W102</v>
      </c>
      <c r="G27">
        <v>40</v>
      </c>
      <c r="H27">
        <f>VLOOKUP(D27,Products!$A:$F,5,FALSE)</f>
        <v>149</v>
      </c>
      <c r="I27">
        <f t="shared" si="2"/>
        <v>5960</v>
      </c>
      <c r="J27" t="str">
        <f ca="1">INDEX({"Delivered","Delayed"},RANDBETWEEN(1,2))</f>
        <v>Delayed</v>
      </c>
    </row>
    <row r="28" spans="1:10" x14ac:dyDescent="0.25">
      <c r="A28" t="str">
        <f t="shared" ca="1" si="0"/>
        <v>M1IDWQ1Y</v>
      </c>
      <c r="B28" s="11">
        <v>45728</v>
      </c>
      <c r="C28" s="12" t="str">
        <f t="shared" si="1"/>
        <v>Mar</v>
      </c>
      <c r="D28" t="s">
        <v>59</v>
      </c>
      <c r="E28" t="str">
        <f>VLOOKUP(D28,Products!$A:$B,2,FALSE)</f>
        <v>Purely Vacuum-Fried Sweet Potato Chips</v>
      </c>
      <c r="F28" t="str">
        <f ca="1">INDEX({"W101","W102","W103","W104"},RANDBETWEEN(1,4))</f>
        <v>W104</v>
      </c>
      <c r="G28">
        <v>154</v>
      </c>
      <c r="H28">
        <f>VLOOKUP(D28,Products!$A:$F,5,FALSE)</f>
        <v>99</v>
      </c>
      <c r="I28">
        <f t="shared" si="2"/>
        <v>15246</v>
      </c>
      <c r="J28" t="str">
        <f ca="1">INDEX({"Delivered","Delayed"},RANDBETWEEN(1,2))</f>
        <v>Delayed</v>
      </c>
    </row>
    <row r="29" spans="1:10" x14ac:dyDescent="0.25">
      <c r="A29" t="str">
        <f t="shared" ca="1" si="0"/>
        <v>I4LKRQKL</v>
      </c>
      <c r="B29" s="11">
        <v>45840</v>
      </c>
      <c r="C29" s="12" t="str">
        <f t="shared" si="1"/>
        <v>Jul</v>
      </c>
      <c r="D29" t="s">
        <v>61</v>
      </c>
      <c r="E29" t="str">
        <f>VLOOKUP(D29,Products!$A:$B,2,FALSE)</f>
        <v>Purely Baked Quinoa Puffs (Sour Cream &amp; Onion)</v>
      </c>
      <c r="F29" t="str">
        <f ca="1">INDEX({"W101","W102","W103","W104"},RANDBETWEEN(1,4))</f>
        <v>W103</v>
      </c>
      <c r="G29">
        <v>111</v>
      </c>
      <c r="H29">
        <f>VLOOKUP(D29,Products!$A:$F,5,FALSE)</f>
        <v>115</v>
      </c>
      <c r="I29">
        <f t="shared" si="2"/>
        <v>12765</v>
      </c>
      <c r="J29" t="str">
        <f ca="1">INDEX({"Delivered","Delayed"},RANDBETWEEN(1,2))</f>
        <v>Delayed</v>
      </c>
    </row>
    <row r="30" spans="1:10" x14ac:dyDescent="0.25">
      <c r="A30" t="str">
        <f t="shared" ca="1" si="0"/>
        <v>MJ2KTLTB</v>
      </c>
      <c r="B30" s="11">
        <v>45759</v>
      </c>
      <c r="C30" s="12" t="str">
        <f t="shared" si="1"/>
        <v>Apr</v>
      </c>
      <c r="D30" t="s">
        <v>63</v>
      </c>
      <c r="E30" t="str">
        <f>VLOOKUP(D30,Products!$A:$B,2,FALSE)</f>
        <v>Fresh 100% Pure Mixed Fruit Juice</v>
      </c>
      <c r="F30" t="str">
        <f ca="1">INDEX({"W101","W102","W103","W104"},RANDBETWEEN(1,4))</f>
        <v>W104</v>
      </c>
      <c r="G30">
        <v>154</v>
      </c>
      <c r="H30">
        <f>VLOOKUP(D30,Products!$A:$F,5,FALSE)</f>
        <v>125</v>
      </c>
      <c r="I30">
        <f t="shared" si="2"/>
        <v>19250</v>
      </c>
      <c r="J30" t="str">
        <f ca="1">INDEX({"Delivered","Delayed"},RANDBETWEEN(1,2))</f>
        <v>Delayed</v>
      </c>
    </row>
    <row r="31" spans="1:10" x14ac:dyDescent="0.25">
      <c r="A31" t="str">
        <f t="shared" ca="1" si="0"/>
        <v>TJNJ52R3</v>
      </c>
      <c r="B31" s="11">
        <v>45896</v>
      </c>
      <c r="C31" s="12" t="str">
        <f t="shared" si="1"/>
        <v>Aug</v>
      </c>
      <c r="D31" t="s">
        <v>66</v>
      </c>
      <c r="E31" t="str">
        <f>VLOOKUP(D31,Products!$A:$B,2,FALSE)</f>
        <v>Fresh Refreshing Alphonso Mango Drink</v>
      </c>
      <c r="F31" t="str">
        <f ca="1">INDEX({"W101","W102","W103","W104"},RANDBETWEEN(1,4))</f>
        <v>W104</v>
      </c>
      <c r="G31">
        <v>104</v>
      </c>
      <c r="H31">
        <f>VLOOKUP(D31,Products!$A:$F,5,FALSE)</f>
        <v>99</v>
      </c>
      <c r="I31">
        <f t="shared" si="2"/>
        <v>10296</v>
      </c>
      <c r="J31" t="str">
        <f ca="1">INDEX({"Delivered","Delayed"},RANDBETWEEN(1,2))</f>
        <v>Delivered</v>
      </c>
    </row>
    <row r="32" spans="1:10" x14ac:dyDescent="0.25">
      <c r="A32" t="str">
        <f t="shared" ca="1" si="0"/>
        <v>QZY06CO9</v>
      </c>
      <c r="B32" s="11">
        <v>45937</v>
      </c>
      <c r="C32" s="12" t="str">
        <f t="shared" si="1"/>
        <v>Oct</v>
      </c>
      <c r="D32" t="s">
        <v>61</v>
      </c>
      <c r="E32" t="str">
        <f>VLOOKUP(D32,Products!$A:$B,2,FALSE)</f>
        <v>Purely Baked Quinoa Puffs (Sour Cream &amp; Onion)</v>
      </c>
      <c r="F32" t="str">
        <f ca="1">INDEX({"W101","W102","W103","W104"},RANDBETWEEN(1,4))</f>
        <v>W103</v>
      </c>
      <c r="G32">
        <v>31</v>
      </c>
      <c r="H32">
        <f>VLOOKUP(D32,Products!$A:$F,5,FALSE)</f>
        <v>115</v>
      </c>
      <c r="I32">
        <f t="shared" si="2"/>
        <v>3565</v>
      </c>
      <c r="J32" t="str">
        <f ca="1">INDEX({"Delivered","Delayed"},RANDBETWEEN(1,2))</f>
        <v>Delayed</v>
      </c>
    </row>
    <row r="33" spans="1:10" x14ac:dyDescent="0.25">
      <c r="A33" t="str">
        <f t="shared" ca="1" si="0"/>
        <v>MX0PL7EV</v>
      </c>
      <c r="B33" s="11">
        <v>46005</v>
      </c>
      <c r="C33" s="12" t="str">
        <f t="shared" si="1"/>
        <v>Dec</v>
      </c>
      <c r="D33" t="s">
        <v>70</v>
      </c>
      <c r="E33" t="str">
        <f>VLOOKUP(D33,Products!$A:$B,2,FALSE)</f>
        <v>Fresh Guava Chilli Tangy Nectar</v>
      </c>
      <c r="F33" t="str">
        <f ca="1">INDEX({"W101","W102","W103","W104"},RANDBETWEEN(1,4))</f>
        <v>W101</v>
      </c>
      <c r="G33">
        <v>40</v>
      </c>
      <c r="H33">
        <f>VLOOKUP(D33,Products!$A:$F,5,FALSE)</f>
        <v>120</v>
      </c>
      <c r="I33">
        <f t="shared" si="2"/>
        <v>4800</v>
      </c>
      <c r="J33" t="str">
        <f ca="1">INDEX({"Delivered","Delayed"},RANDBETWEEN(1,2))</f>
        <v>Delivered</v>
      </c>
    </row>
    <row r="34" spans="1:10" x14ac:dyDescent="0.25">
      <c r="A34" t="str">
        <f t="shared" ca="1" si="0"/>
        <v>FZRH4O8K</v>
      </c>
      <c r="B34" s="11">
        <v>45795</v>
      </c>
      <c r="C34" s="12" t="str">
        <f t="shared" si="1"/>
        <v>May</v>
      </c>
      <c r="D34" t="s">
        <v>72</v>
      </c>
      <c r="E34" t="str">
        <f>VLOOKUP(D34,Products!$A:$B,2,FALSE)</f>
        <v>Purely Cold-Pressed Green Juice (Spinach, Cucumber, Green Apple)</v>
      </c>
      <c r="F34" t="str">
        <f ca="1">INDEX({"W101","W102","W103","W104"},RANDBETWEEN(1,4))</f>
        <v>W104</v>
      </c>
      <c r="G34">
        <v>133</v>
      </c>
      <c r="H34">
        <f>VLOOKUP(D34,Products!$A:$F,5,FALSE)</f>
        <v>249</v>
      </c>
      <c r="I34">
        <f t="shared" si="2"/>
        <v>33117</v>
      </c>
      <c r="J34" t="str">
        <f ca="1">INDEX({"Delivered","Delayed"},RANDBETWEEN(1,2))</f>
        <v>Delivered</v>
      </c>
    </row>
    <row r="35" spans="1:10" x14ac:dyDescent="0.25">
      <c r="A35" t="str">
        <f t="shared" ca="1" si="0"/>
        <v>2KXOPXLC</v>
      </c>
      <c r="B35" s="11">
        <v>46012</v>
      </c>
      <c r="C35" s="12" t="str">
        <f t="shared" si="1"/>
        <v>Dec</v>
      </c>
      <c r="D35" t="s">
        <v>7</v>
      </c>
      <c r="E35" t="str">
        <f>VLOOKUP(D35,Products!$A:$B,2,FALSE)</f>
        <v>Fresh Smooth &amp; Shiny Daily Silky Shampoo</v>
      </c>
      <c r="F35" t="str">
        <f ca="1">INDEX({"W101","W102","W103","W104"},RANDBETWEEN(1,4))</f>
        <v>W103</v>
      </c>
      <c r="G35">
        <v>25</v>
      </c>
      <c r="H35">
        <f>VLOOKUP(D35,Products!$A:$F,5,FALSE)</f>
        <v>185</v>
      </c>
      <c r="I35">
        <f t="shared" si="2"/>
        <v>4625</v>
      </c>
      <c r="J35" t="str">
        <f ca="1">INDEX({"Delivered","Delayed"},RANDBETWEEN(1,2))</f>
        <v>Delivered</v>
      </c>
    </row>
    <row r="36" spans="1:10" x14ac:dyDescent="0.25">
      <c r="A36" t="str">
        <f t="shared" ca="1" si="0"/>
        <v>CEE6WAM3</v>
      </c>
      <c r="B36" s="11">
        <v>45942</v>
      </c>
      <c r="C36" s="12" t="str">
        <f t="shared" si="1"/>
        <v>Oct</v>
      </c>
      <c r="D36" t="s">
        <v>76</v>
      </c>
      <c r="E36" t="str">
        <f>VLOOKUP(D36,Products!$A:$B,2,FALSE)</f>
        <v>Fresh Strong Assam CTC Daily Chai</v>
      </c>
      <c r="F36" t="str">
        <f ca="1">INDEX({"W101","W102","W103","W104"},RANDBETWEEN(1,4))</f>
        <v>W104</v>
      </c>
      <c r="G36">
        <v>152</v>
      </c>
      <c r="H36">
        <f>VLOOKUP(D36,Products!$A:$F,5,FALSE)</f>
        <v>160</v>
      </c>
      <c r="I36">
        <f t="shared" si="2"/>
        <v>24320</v>
      </c>
      <c r="J36" t="str">
        <f ca="1">INDEX({"Delivered","Delayed"},RANDBETWEEN(1,2))</f>
        <v>Delivered</v>
      </c>
    </row>
    <row r="37" spans="1:10" x14ac:dyDescent="0.25">
      <c r="A37" t="str">
        <f t="shared" ca="1" si="0"/>
        <v>NC3C5DY0</v>
      </c>
      <c r="B37" s="11">
        <v>45883</v>
      </c>
      <c r="C37" s="12" t="str">
        <f t="shared" si="1"/>
        <v>Aug</v>
      </c>
      <c r="D37" t="s">
        <v>78</v>
      </c>
      <c r="E37" t="str">
        <f>VLOOKUP(D37,Products!$A:$B,2,FALSE)</f>
        <v>Fresh Elaichi (Cardamom) Instant Tea Premix</v>
      </c>
      <c r="F37" t="str">
        <f ca="1">INDEX({"W101","W102","W103","W104"},RANDBETWEEN(1,4))</f>
        <v>W103</v>
      </c>
      <c r="G37">
        <v>137</v>
      </c>
      <c r="H37">
        <f>VLOOKUP(D37,Products!$A:$F,5,FALSE)</f>
        <v>210</v>
      </c>
      <c r="I37">
        <f t="shared" si="2"/>
        <v>28770</v>
      </c>
      <c r="J37" t="str">
        <f ca="1">INDEX({"Delivered","Delayed"},RANDBETWEEN(1,2))</f>
        <v>Delivered</v>
      </c>
    </row>
    <row r="38" spans="1:10" x14ac:dyDescent="0.25">
      <c r="A38" t="str">
        <f t="shared" ca="1" si="0"/>
        <v>R7XU8HRC</v>
      </c>
      <c r="B38" s="11">
        <v>46009</v>
      </c>
      <c r="C38" s="12" t="str">
        <f t="shared" si="1"/>
        <v>Dec</v>
      </c>
      <c r="D38" t="s">
        <v>80</v>
      </c>
      <c r="E38" t="str">
        <f>VLOOKUP(D38,Products!$A:$B,2,FALSE)</f>
        <v>Fresh Refreshing Lemon Ice Tea Mix</v>
      </c>
      <c r="F38" t="str">
        <f ca="1">INDEX({"W101","W102","W103","W104"},RANDBETWEEN(1,4))</f>
        <v>W103</v>
      </c>
      <c r="G38">
        <v>158</v>
      </c>
      <c r="H38">
        <f>VLOOKUP(D38,Products!$A:$F,5,FALSE)</f>
        <v>150</v>
      </c>
      <c r="I38">
        <f t="shared" si="2"/>
        <v>23700</v>
      </c>
      <c r="J38" t="str">
        <f ca="1">INDEX({"Delivered","Delayed"},RANDBETWEEN(1,2))</f>
        <v>Delayed</v>
      </c>
    </row>
    <row r="39" spans="1:10" x14ac:dyDescent="0.25">
      <c r="A39" t="str">
        <f t="shared" ca="1" si="0"/>
        <v>RQ5YDO9A</v>
      </c>
      <c r="B39" s="11">
        <v>45914</v>
      </c>
      <c r="C39" s="12" t="str">
        <f t="shared" si="1"/>
        <v>Sep</v>
      </c>
      <c r="D39" t="s">
        <v>82</v>
      </c>
      <c r="E39" t="str">
        <f>VLOOKUP(D39,Products!$A:$B,2,FALSE)</f>
        <v>Purely Organic Himalayan Green Tea (Whole Leaf)</v>
      </c>
      <c r="F39" t="str">
        <f ca="1">INDEX({"W101","W102","W103","W104"},RANDBETWEEN(1,4))</f>
        <v>W104</v>
      </c>
      <c r="G39">
        <v>30</v>
      </c>
      <c r="H39">
        <f>VLOOKUP(D39,Products!$A:$F,5,FALSE)</f>
        <v>349</v>
      </c>
      <c r="I39">
        <f t="shared" si="2"/>
        <v>10470</v>
      </c>
      <c r="J39" t="str">
        <f ca="1">INDEX({"Delivered","Delayed"},RANDBETWEEN(1,2))</f>
        <v>Delivered</v>
      </c>
    </row>
    <row r="40" spans="1:10" x14ac:dyDescent="0.25">
      <c r="A40" t="str">
        <f t="shared" ca="1" si="0"/>
        <v>HL405PA9</v>
      </c>
      <c r="B40" s="11">
        <v>45928</v>
      </c>
      <c r="C40" s="12" t="str">
        <f t="shared" si="1"/>
        <v>Sep</v>
      </c>
      <c r="D40" t="s">
        <v>84</v>
      </c>
      <c r="E40" t="str">
        <f>VLOOKUP(D40,Products!$A:$B,2,FALSE)</f>
        <v>Purely Soothing Chamomile &amp; Lavender Herbal Tea Infusion</v>
      </c>
      <c r="F40" t="str">
        <f ca="1">INDEX({"W101","W102","W103","W104"},RANDBETWEEN(1,4))</f>
        <v>W103</v>
      </c>
      <c r="G40">
        <v>40</v>
      </c>
      <c r="H40">
        <f>VLOOKUP(D40,Products!$A:$F,5,FALSE)</f>
        <v>399</v>
      </c>
      <c r="I40">
        <f t="shared" si="2"/>
        <v>15960</v>
      </c>
      <c r="J40" t="str">
        <f ca="1">INDEX({"Delivered","Delayed"},RANDBETWEEN(1,2))</f>
        <v>Delivered</v>
      </c>
    </row>
    <row r="41" spans="1:10" x14ac:dyDescent="0.25">
      <c r="A41" t="str">
        <f t="shared" ca="1" si="0"/>
        <v>TJDMANYG</v>
      </c>
      <c r="B41" s="11">
        <v>46014</v>
      </c>
      <c r="C41" s="12" t="str">
        <f t="shared" si="1"/>
        <v>Dec</v>
      </c>
      <c r="D41" t="s">
        <v>86</v>
      </c>
      <c r="E41" t="str">
        <f>VLOOKUP(D41,Products!$A:$B,2,FALSE)</f>
        <v>Purely Detox Matcha Tea Powder</v>
      </c>
      <c r="F41" t="str">
        <f ca="1">INDEX({"W101","W102","W103","W104"},RANDBETWEEN(1,4))</f>
        <v>W101</v>
      </c>
      <c r="G41">
        <v>167</v>
      </c>
      <c r="H41">
        <f>VLOOKUP(D41,Products!$A:$F,5,FALSE)</f>
        <v>599</v>
      </c>
      <c r="I41">
        <f t="shared" si="2"/>
        <v>100033</v>
      </c>
      <c r="J41" t="str">
        <f ca="1">INDEX({"Delivered","Delayed"},RANDBETWEEN(1,2))</f>
        <v>Delayed</v>
      </c>
    </row>
    <row r="42" spans="1:10" x14ac:dyDescent="0.25">
      <c r="A42" t="str">
        <f t="shared" ca="1" si="0"/>
        <v>6NW1RDHH</v>
      </c>
      <c r="B42" s="11">
        <v>45810</v>
      </c>
      <c r="C42" s="12" t="str">
        <f t="shared" si="1"/>
        <v>Jun</v>
      </c>
      <c r="D42" t="s">
        <v>4</v>
      </c>
      <c r="E42" t="str">
        <f>VLOOKUP(D42,Products!$A:$B,2,FALSE)</f>
        <v>Fresh Anti-Dandruff Cool Mint Shampoo</v>
      </c>
      <c r="F42" t="str">
        <f ca="1">INDEX({"W101","W102","W103","W104"},RANDBETWEEN(1,4))</f>
        <v>W104</v>
      </c>
      <c r="G42">
        <v>104</v>
      </c>
      <c r="H42">
        <f>VLOOKUP(D42,Products!$A:$F,5,FALSE)</f>
        <v>199</v>
      </c>
      <c r="I42">
        <f t="shared" si="2"/>
        <v>20696</v>
      </c>
      <c r="J42" t="str">
        <f ca="1">INDEX({"Delivered","Delayed"},RANDBETWEEN(1,2))</f>
        <v>Delayed</v>
      </c>
    </row>
    <row r="43" spans="1:10" x14ac:dyDescent="0.25">
      <c r="A43" t="str">
        <f t="shared" ca="1" si="0"/>
        <v>WC7R6YHX</v>
      </c>
      <c r="B43" s="11">
        <v>45684</v>
      </c>
      <c r="C43" s="12" t="str">
        <f t="shared" si="1"/>
        <v>Jan</v>
      </c>
      <c r="D43" t="s">
        <v>7</v>
      </c>
      <c r="E43" t="str">
        <f>VLOOKUP(D43,Products!$A:$B,2,FALSE)</f>
        <v>Fresh Smooth &amp; Shiny Daily Silky Shampoo</v>
      </c>
      <c r="F43" t="str">
        <f ca="1">INDEX({"W101","W102","W103","W104"},RANDBETWEEN(1,4))</f>
        <v>W103</v>
      </c>
      <c r="G43">
        <v>48</v>
      </c>
      <c r="H43">
        <f>VLOOKUP(D43,Products!$A:$F,5,FALSE)</f>
        <v>185</v>
      </c>
      <c r="I43">
        <f t="shared" si="2"/>
        <v>8880</v>
      </c>
      <c r="J43" t="str">
        <f ca="1">INDEX({"Delivered","Delayed"},RANDBETWEEN(1,2))</f>
        <v>Delayed</v>
      </c>
    </row>
    <row r="44" spans="1:10" x14ac:dyDescent="0.25">
      <c r="A44" t="str">
        <f t="shared" ca="1" si="0"/>
        <v>ALZ9XZTC</v>
      </c>
      <c r="B44" s="11">
        <v>45893</v>
      </c>
      <c r="C44" s="12" t="str">
        <f t="shared" si="1"/>
        <v>Aug</v>
      </c>
      <c r="D44" t="s">
        <v>9</v>
      </c>
      <c r="E44" t="str">
        <f>VLOOKUP(D44,Products!$A:$B,2,FALSE)</f>
        <v>Fresh 2-in-1 Shampoo + Conditioner for Kids (Mango Flavor)</v>
      </c>
      <c r="F44" t="str">
        <f ca="1">INDEX({"W101","W102","W103","W104"},RANDBETWEEN(1,4))</f>
        <v>W103</v>
      </c>
      <c r="G44">
        <v>129</v>
      </c>
      <c r="H44">
        <f>VLOOKUP(D44,Products!$A:$F,5,FALSE)</f>
        <v>225</v>
      </c>
      <c r="I44">
        <f t="shared" si="2"/>
        <v>29025</v>
      </c>
      <c r="J44" t="str">
        <f ca="1">INDEX({"Delivered","Delayed"},RANDBETWEEN(1,2))</f>
        <v>Delivered</v>
      </c>
    </row>
    <row r="45" spans="1:10" x14ac:dyDescent="0.25">
      <c r="A45" t="str">
        <f t="shared" ca="1" si="0"/>
        <v>R067N33P</v>
      </c>
      <c r="B45" s="11">
        <v>45688</v>
      </c>
      <c r="C45" s="12" t="str">
        <f t="shared" si="1"/>
        <v>Jan</v>
      </c>
      <c r="D45" t="s">
        <v>11</v>
      </c>
      <c r="E45" t="str">
        <f>VLOOKUP(D45,Products!$A:$B,2,FALSE)</f>
        <v>Purely Apple Cider Vinegar Hair Therapy Shampoo</v>
      </c>
      <c r="F45" t="str">
        <f ca="1">INDEX({"W101","W102","W103","W104"},RANDBETWEEN(1,4))</f>
        <v>W102</v>
      </c>
      <c r="G45">
        <v>121</v>
      </c>
      <c r="H45">
        <f>VLOOKUP(D45,Products!$A:$F,5,FALSE)</f>
        <v>399</v>
      </c>
      <c r="I45">
        <f t="shared" si="2"/>
        <v>48279</v>
      </c>
      <c r="J45" t="str">
        <f ca="1">INDEX({"Delivered","Delayed"},RANDBETWEEN(1,2))</f>
        <v>Delayed</v>
      </c>
    </row>
    <row r="46" spans="1:10" x14ac:dyDescent="0.25">
      <c r="A46" t="str">
        <f t="shared" ca="1" si="0"/>
        <v>SKZYJ9JA</v>
      </c>
      <c r="B46" s="11">
        <v>45858</v>
      </c>
      <c r="C46" s="12" t="str">
        <f t="shared" si="1"/>
        <v>Jul</v>
      </c>
      <c r="D46" t="s">
        <v>13</v>
      </c>
      <c r="E46" t="str">
        <f>VLOOKUP(D46,Products!$A:$B,2,FALSE)</f>
        <v>Purely Argan Oil &amp; Moroccan Clay Repair Shampoo</v>
      </c>
      <c r="F46" t="str">
        <f ca="1">INDEX({"W101","W102","W103","W104"},RANDBETWEEN(1,4))</f>
        <v>W104</v>
      </c>
      <c r="G46">
        <v>45</v>
      </c>
      <c r="H46">
        <f>VLOOKUP(D46,Products!$A:$F,5,FALSE)</f>
        <v>449</v>
      </c>
      <c r="I46">
        <f t="shared" si="2"/>
        <v>20205</v>
      </c>
      <c r="J46" t="str">
        <f ca="1">INDEX({"Delivered","Delayed"},RANDBETWEEN(1,2))</f>
        <v>Delivered</v>
      </c>
    </row>
    <row r="47" spans="1:10" x14ac:dyDescent="0.25">
      <c r="A47" t="str">
        <f t="shared" ca="1" si="0"/>
        <v>TQUHKIGI</v>
      </c>
      <c r="B47" s="11">
        <v>45684</v>
      </c>
      <c r="C47" s="12" t="str">
        <f t="shared" si="1"/>
        <v>Jan</v>
      </c>
      <c r="D47" t="s">
        <v>15</v>
      </c>
      <c r="E47" t="str">
        <f>VLOOKUP(D47,Products!$A:$B,2,FALSE)</f>
        <v>Purely Activated Charcoal Deep Cleanse Men’s Shampoo</v>
      </c>
      <c r="F47" t="str">
        <f ca="1">INDEX({"W101","W102","W103","W104"},RANDBETWEEN(1,4))</f>
        <v>W104</v>
      </c>
      <c r="G47">
        <v>27</v>
      </c>
      <c r="H47">
        <f>VLOOKUP(D47,Products!$A:$F,5,FALSE)</f>
        <v>349</v>
      </c>
      <c r="I47">
        <f t="shared" si="2"/>
        <v>9423</v>
      </c>
      <c r="J47" t="str">
        <f ca="1">INDEX({"Delivered","Delayed"},RANDBETWEEN(1,2))</f>
        <v>Delivered</v>
      </c>
    </row>
    <row r="48" spans="1:10" x14ac:dyDescent="0.25">
      <c r="A48" t="str">
        <f t="shared" ca="1" si="0"/>
        <v>PFK8RY65</v>
      </c>
      <c r="B48" s="11">
        <v>45966</v>
      </c>
      <c r="C48" s="12" t="str">
        <f t="shared" si="1"/>
        <v>Nov</v>
      </c>
      <c r="D48" t="s">
        <v>17</v>
      </c>
      <c r="E48" t="str">
        <f>VLOOKUP(D48,Products!$A:$B,2,FALSE)</f>
        <v>Purely Fragrance-Free Ultra-Mild Sensitive Scalp Shampoo</v>
      </c>
      <c r="F48" t="str">
        <f ca="1">INDEX({"W101","W102","W103","W104"},RANDBETWEEN(1,4))</f>
        <v>W103</v>
      </c>
      <c r="G48">
        <v>56</v>
      </c>
      <c r="H48">
        <f>VLOOKUP(D48,Products!$A:$F,5,FALSE)</f>
        <v>375</v>
      </c>
      <c r="I48">
        <f t="shared" si="2"/>
        <v>21000</v>
      </c>
      <c r="J48" t="str">
        <f ca="1">INDEX({"Delivered","Delayed"},RANDBETWEEN(1,2))</f>
        <v>Delayed</v>
      </c>
    </row>
    <row r="49" spans="1:10" x14ac:dyDescent="0.25">
      <c r="A49" t="str">
        <f t="shared" ca="1" si="0"/>
        <v>U672A49T</v>
      </c>
      <c r="B49" s="11">
        <v>45681</v>
      </c>
      <c r="C49" s="12" t="str">
        <f t="shared" si="1"/>
        <v>Jan</v>
      </c>
      <c r="D49" t="s">
        <v>19</v>
      </c>
      <c r="E49" t="str">
        <f>VLOOKUP(D49,Products!$A:$B,2,FALSE)</f>
        <v>Fresh Vitamin E &amp; Aloe Vera Moisturizing Bar</v>
      </c>
      <c r="F49" t="str">
        <f ca="1">INDEX({"W101","W102","W103","W104"},RANDBETWEEN(1,4))</f>
        <v>W101</v>
      </c>
      <c r="G49">
        <v>126</v>
      </c>
      <c r="H49">
        <f>VLOOKUP(D49,Products!$A:$F,5,FALSE)</f>
        <v>45</v>
      </c>
      <c r="I49">
        <f t="shared" si="2"/>
        <v>5670</v>
      </c>
      <c r="J49" t="str">
        <f ca="1">INDEX({"Delivered","Delayed"},RANDBETWEEN(1,2))</f>
        <v>Delivered</v>
      </c>
    </row>
    <row r="50" spans="1:10" x14ac:dyDescent="0.25">
      <c r="A50" t="str">
        <f t="shared" ca="1" si="0"/>
        <v>KVXK1CX9</v>
      </c>
      <c r="B50" s="11">
        <v>45727</v>
      </c>
      <c r="C50" s="12" t="str">
        <f t="shared" si="1"/>
        <v>Mar</v>
      </c>
      <c r="D50" t="s">
        <v>21</v>
      </c>
      <c r="E50" t="str">
        <f>VLOOKUP(D50,Products!$A:$B,2,FALSE)</f>
        <v>Fresh Refreshing Lemon &amp; Neem Germ Protection Soap</v>
      </c>
      <c r="F50" t="str">
        <f ca="1">INDEX({"W101","W102","W103","W104"},RANDBETWEEN(1,4))</f>
        <v>W102</v>
      </c>
      <c r="G50">
        <v>195</v>
      </c>
      <c r="H50">
        <f>VLOOKUP(D50,Products!$A:$F,5,FALSE)</f>
        <v>40</v>
      </c>
      <c r="I50">
        <f t="shared" si="2"/>
        <v>7800</v>
      </c>
      <c r="J50" t="str">
        <f ca="1">INDEX({"Delivered","Delayed"},RANDBETWEEN(1,2))</f>
        <v>Delivered</v>
      </c>
    </row>
    <row r="51" spans="1:10" x14ac:dyDescent="0.25">
      <c r="A51" t="str">
        <f t="shared" ca="1" si="0"/>
        <v>TB4FURNF</v>
      </c>
      <c r="B51" s="11">
        <v>45939</v>
      </c>
      <c r="C51" s="12" t="str">
        <f t="shared" si="1"/>
        <v>Oct</v>
      </c>
      <c r="D51" t="s">
        <v>23</v>
      </c>
      <c r="E51" t="str">
        <f>VLOOKUP(D51,Products!$A:$B,2,FALSE)</f>
        <v>Fresh Rose Petal Cream Bathing Bar</v>
      </c>
      <c r="F51" t="str">
        <f ca="1">INDEX({"W101","W102","W103","W104"},RANDBETWEEN(1,4))</f>
        <v>W101</v>
      </c>
      <c r="G51">
        <v>61</v>
      </c>
      <c r="H51">
        <f>VLOOKUP(D51,Products!$A:$F,5,FALSE)</f>
        <v>45</v>
      </c>
      <c r="I51">
        <f t="shared" si="2"/>
        <v>2745</v>
      </c>
      <c r="J51" t="str">
        <f ca="1">INDEX({"Delivered","Delayed"},RANDBETWEEN(1,2))</f>
        <v>Delivered</v>
      </c>
    </row>
    <row r="52" spans="1:10" x14ac:dyDescent="0.25">
      <c r="A52" t="str">
        <f t="shared" ca="1" si="0"/>
        <v>G3P7P44X</v>
      </c>
      <c r="B52" s="11">
        <v>45813</v>
      </c>
      <c r="C52" s="12" t="str">
        <f t="shared" si="1"/>
        <v>Jun</v>
      </c>
      <c r="D52" t="s">
        <v>25</v>
      </c>
      <c r="E52" t="str">
        <f>VLOOKUP(D52,Products!$A:$B,2,FALSE)</f>
        <v>Purely Handcrafted Oatmeal &amp; Honey Exfoliating Scrub Soap</v>
      </c>
      <c r="F52" t="str">
        <f ca="1">INDEX({"W101","W102","W103","W104"},RANDBETWEEN(1,4))</f>
        <v>W103</v>
      </c>
      <c r="G52">
        <v>121</v>
      </c>
      <c r="H52">
        <f>VLOOKUP(D52,Products!$A:$F,5,FALSE)</f>
        <v>125</v>
      </c>
      <c r="I52">
        <f t="shared" si="2"/>
        <v>15125</v>
      </c>
      <c r="J52" t="str">
        <f ca="1">INDEX({"Delivered","Delayed"},RANDBETWEEN(1,2))</f>
        <v>Delayed</v>
      </c>
    </row>
    <row r="53" spans="1:10" x14ac:dyDescent="0.25">
      <c r="A53" t="str">
        <f t="shared" ca="1" si="0"/>
        <v>OSMHL20R</v>
      </c>
      <c r="B53" s="11">
        <v>45986</v>
      </c>
      <c r="C53" s="12" t="str">
        <f t="shared" si="1"/>
        <v>Nov</v>
      </c>
      <c r="D53" t="s">
        <v>15</v>
      </c>
      <c r="E53" t="str">
        <f>VLOOKUP(D53,Products!$A:$B,2,FALSE)</f>
        <v>Purely Activated Charcoal Deep Cleanse Men’s Shampoo</v>
      </c>
      <c r="F53" t="str">
        <f ca="1">INDEX({"W101","W102","W103","W104"},RANDBETWEEN(1,4))</f>
        <v>W103</v>
      </c>
      <c r="G53">
        <v>189</v>
      </c>
      <c r="H53">
        <f>VLOOKUP(D53,Products!$A:$F,5,FALSE)</f>
        <v>349</v>
      </c>
      <c r="I53">
        <f t="shared" si="2"/>
        <v>65961</v>
      </c>
      <c r="J53" t="str">
        <f ca="1">INDEX({"Delivered","Delayed"},RANDBETWEEN(1,2))</f>
        <v>Delayed</v>
      </c>
    </row>
    <row r="54" spans="1:10" x14ac:dyDescent="0.25">
      <c r="A54" t="str">
        <f t="shared" ca="1" si="0"/>
        <v>Q79E6EEM</v>
      </c>
      <c r="B54" s="11">
        <v>45985</v>
      </c>
      <c r="C54" s="12" t="str">
        <f t="shared" si="1"/>
        <v>Nov</v>
      </c>
      <c r="D54" t="s">
        <v>29</v>
      </c>
      <c r="E54" t="str">
        <f>VLOOKUP(D54,Products!$A:$B,2,FALSE)</f>
        <v>Fresh Lemon Power Detergent Powder (Tough Stain Remover)</v>
      </c>
      <c r="F54" t="str">
        <f ca="1">INDEX({"W101","W102","W103","W104"},RANDBETWEEN(1,4))</f>
        <v>W104</v>
      </c>
      <c r="G54">
        <v>175</v>
      </c>
      <c r="H54">
        <f>VLOOKUP(D54,Products!$A:$F,5,FALSE)</f>
        <v>149</v>
      </c>
      <c r="I54">
        <f t="shared" si="2"/>
        <v>26075</v>
      </c>
      <c r="J54" t="str">
        <f ca="1">INDEX({"Delivered","Delayed"},RANDBETWEEN(1,2))</f>
        <v>Delayed</v>
      </c>
    </row>
    <row r="55" spans="1:10" x14ac:dyDescent="0.25">
      <c r="A55" t="str">
        <f t="shared" ca="1" si="0"/>
        <v>O2D8BRQV</v>
      </c>
      <c r="B55" s="11">
        <v>45714</v>
      </c>
      <c r="C55" s="12" t="str">
        <f t="shared" si="1"/>
        <v>Feb</v>
      </c>
      <c r="D55" t="s">
        <v>32</v>
      </c>
      <c r="E55" t="str">
        <f>VLOOKUP(D55,Products!$A:$B,2,FALSE)</f>
        <v>Fresh Lavender Fields Liquid Detergent (Front &amp; Top Load)</v>
      </c>
      <c r="F55" t="str">
        <f ca="1">INDEX({"W101","W102","W103","W104"},RANDBETWEEN(1,4))</f>
        <v>W102</v>
      </c>
      <c r="G55">
        <v>49</v>
      </c>
      <c r="H55">
        <f>VLOOKUP(D55,Products!$A:$F,5,FALSE)</f>
        <v>249</v>
      </c>
      <c r="I55">
        <f t="shared" si="2"/>
        <v>12201</v>
      </c>
      <c r="J55" t="str">
        <f ca="1">INDEX({"Delivered","Delayed"},RANDBETWEEN(1,2))</f>
        <v>Delivered</v>
      </c>
    </row>
    <row r="56" spans="1:10" x14ac:dyDescent="0.25">
      <c r="A56" t="str">
        <f t="shared" ca="1" si="0"/>
        <v>R9U7BT6K</v>
      </c>
      <c r="B56" s="11">
        <v>45839</v>
      </c>
      <c r="C56" s="12" t="str">
        <f t="shared" si="1"/>
        <v>Jul</v>
      </c>
      <c r="D56" t="s">
        <v>53</v>
      </c>
      <c r="E56" t="str">
        <f>VLOOKUP(D56,Products!$A:$B,2,FALSE)</f>
        <v>Fresh Classic Salted Potato Chips (Party Pack)</v>
      </c>
      <c r="F56" t="str">
        <f ca="1">INDEX({"W101","W102","W103","W104"},RANDBETWEEN(1,4))</f>
        <v>W104</v>
      </c>
      <c r="G56">
        <v>37</v>
      </c>
      <c r="H56">
        <f>VLOOKUP(D56,Products!$A:$F,5,FALSE)</f>
        <v>50</v>
      </c>
      <c r="I56">
        <f t="shared" si="2"/>
        <v>1850</v>
      </c>
      <c r="J56" t="str">
        <f ca="1">INDEX({"Delivered","Delayed"},RANDBETWEEN(1,2))</f>
        <v>Delivered</v>
      </c>
    </row>
    <row r="57" spans="1:10" x14ac:dyDescent="0.25">
      <c r="A57" t="str">
        <f t="shared" ca="1" si="0"/>
        <v>J8ROYJM5</v>
      </c>
      <c r="B57" s="11">
        <v>45711</v>
      </c>
      <c r="C57" s="12" t="str">
        <f t="shared" si="1"/>
        <v>Feb</v>
      </c>
      <c r="D57" t="s">
        <v>36</v>
      </c>
      <c r="E57" t="str">
        <f>VLOOKUP(D57,Products!$A:$B,2,FALSE)</f>
        <v>Purely Plant-Based Baby Laundry Detergent (Hypoallergenic)</v>
      </c>
      <c r="F57" t="str">
        <f ca="1">INDEX({"W101","W102","W103","W104"},RANDBETWEEN(1,4))</f>
        <v>W104</v>
      </c>
      <c r="G57">
        <v>68</v>
      </c>
      <c r="H57">
        <f>VLOOKUP(D57,Products!$A:$F,5,FALSE)</f>
        <v>425</v>
      </c>
      <c r="I57">
        <f t="shared" si="2"/>
        <v>28900</v>
      </c>
      <c r="J57" t="str">
        <f ca="1">INDEX({"Delivered","Delayed"},RANDBETWEEN(1,2))</f>
        <v>Delayed</v>
      </c>
    </row>
    <row r="58" spans="1:10" x14ac:dyDescent="0.25">
      <c r="A58" t="str">
        <f t="shared" ca="1" si="0"/>
        <v>MHPCEHJG</v>
      </c>
      <c r="B58" s="11">
        <v>45773</v>
      </c>
      <c r="C58" s="12" t="str">
        <f t="shared" si="1"/>
        <v>Apr</v>
      </c>
      <c r="D58" t="s">
        <v>38</v>
      </c>
      <c r="E58" t="str">
        <f>VLOOKUP(D58,Products!$A:$B,2,FALSE)</f>
        <v>Purely Eucalyptus Eco-Friendly Detergent Sheets</v>
      </c>
      <c r="F58" t="str">
        <f ca="1">INDEX({"W101","W102","W103","W104"},RANDBETWEEN(1,4))</f>
        <v>W104</v>
      </c>
      <c r="G58">
        <v>70</v>
      </c>
      <c r="H58">
        <f>VLOOKUP(D58,Products!$A:$F,5,FALSE)</f>
        <v>399</v>
      </c>
      <c r="I58">
        <f t="shared" si="2"/>
        <v>27930</v>
      </c>
      <c r="J58" t="str">
        <f ca="1">INDEX({"Delivered","Delayed"},RANDBETWEEN(1,2))</f>
        <v>Delayed</v>
      </c>
    </row>
    <row r="59" spans="1:10" x14ac:dyDescent="0.25">
      <c r="A59" t="str">
        <f t="shared" ca="1" si="0"/>
        <v>GREA5YHJ</v>
      </c>
      <c r="B59" s="11">
        <v>45722</v>
      </c>
      <c r="C59" s="12" t="str">
        <f t="shared" si="1"/>
        <v>Mar</v>
      </c>
      <c r="D59" t="s">
        <v>15</v>
      </c>
      <c r="E59" t="str">
        <f>VLOOKUP(D59,Products!$A:$B,2,FALSE)</f>
        <v>Purely Activated Charcoal Deep Cleanse Men’s Shampoo</v>
      </c>
      <c r="F59" t="str">
        <f ca="1">INDEX({"W101","W102","W103","W104"},RANDBETWEEN(1,4))</f>
        <v>W103</v>
      </c>
      <c r="G59">
        <v>60</v>
      </c>
      <c r="H59">
        <f>VLOOKUP(D59,Products!$A:$F,5,FALSE)</f>
        <v>349</v>
      </c>
      <c r="I59">
        <f t="shared" si="2"/>
        <v>20940</v>
      </c>
      <c r="J59" t="str">
        <f ca="1">INDEX({"Delivered","Delayed"},RANDBETWEEN(1,2))</f>
        <v>Delivered</v>
      </c>
    </row>
    <row r="60" spans="1:10" x14ac:dyDescent="0.25">
      <c r="A60" t="str">
        <f t="shared" ca="1" si="0"/>
        <v>1HNUPY66</v>
      </c>
      <c r="B60" s="11">
        <v>45685</v>
      </c>
      <c r="C60" s="12" t="str">
        <f t="shared" si="1"/>
        <v>Jan</v>
      </c>
      <c r="D60" t="s">
        <v>53</v>
      </c>
      <c r="E60" t="str">
        <f>VLOOKUP(D60,Products!$A:$B,2,FALSE)</f>
        <v>Fresh Classic Salted Potato Chips (Party Pack)</v>
      </c>
      <c r="F60" t="str">
        <f ca="1">INDEX({"W101","W102","W103","W104"},RANDBETWEEN(1,4))</f>
        <v>W103</v>
      </c>
      <c r="G60">
        <v>174</v>
      </c>
      <c r="H60">
        <f>VLOOKUP(D60,Products!$A:$F,5,FALSE)</f>
        <v>50</v>
      </c>
      <c r="I60">
        <f t="shared" si="2"/>
        <v>8700</v>
      </c>
      <c r="J60" t="str">
        <f ca="1">INDEX({"Delivered","Delayed"},RANDBETWEEN(1,2))</f>
        <v>Delivered</v>
      </c>
    </row>
    <row r="61" spans="1:10" x14ac:dyDescent="0.25">
      <c r="A61" t="str">
        <f t="shared" ca="1" si="0"/>
        <v>MHPHM2OU</v>
      </c>
      <c r="B61" s="11">
        <v>45820</v>
      </c>
      <c r="C61" s="12" t="str">
        <f t="shared" si="1"/>
        <v>Jun</v>
      </c>
      <c r="D61" t="s">
        <v>45</v>
      </c>
      <c r="E61" t="str">
        <f>VLOOKUP(D61,Products!$A:$B,2,FALSE)</f>
        <v>Fresh Crunchy Choco-Chip Cookies</v>
      </c>
      <c r="F61" t="str">
        <f ca="1">INDEX({"W101","W102","W103","W104"},RANDBETWEEN(1,4))</f>
        <v>W101</v>
      </c>
      <c r="G61">
        <v>88</v>
      </c>
      <c r="H61">
        <f>VLOOKUP(D61,Products!$A:$F,5,FALSE)</f>
        <v>60</v>
      </c>
      <c r="I61">
        <f t="shared" si="2"/>
        <v>5280</v>
      </c>
      <c r="J61" t="str">
        <f ca="1">INDEX({"Delivered","Delayed"},RANDBETWEEN(1,2))</f>
        <v>Delayed</v>
      </c>
    </row>
    <row r="62" spans="1:10" x14ac:dyDescent="0.25">
      <c r="A62" t="str">
        <f t="shared" ca="1" si="0"/>
        <v>4F5ZR7OV</v>
      </c>
      <c r="B62" s="11">
        <v>45659</v>
      </c>
      <c r="C62" s="12" t="str">
        <f t="shared" si="1"/>
        <v>Jan</v>
      </c>
      <c r="D62" t="s">
        <v>45</v>
      </c>
      <c r="E62" t="str">
        <f>VLOOKUP(D62,Products!$A:$B,2,FALSE)</f>
        <v>Fresh Crunchy Choco-Chip Cookies</v>
      </c>
      <c r="F62" t="str">
        <f ca="1">INDEX({"W101","W102","W103","W104"},RANDBETWEEN(1,4))</f>
        <v>W104</v>
      </c>
      <c r="G62">
        <v>45</v>
      </c>
      <c r="H62">
        <f>VLOOKUP(D62,Products!$A:$F,5,FALSE)</f>
        <v>60</v>
      </c>
      <c r="I62">
        <f t="shared" si="2"/>
        <v>2700</v>
      </c>
      <c r="J62" t="str">
        <f ca="1">INDEX({"Delivered","Delayed"},RANDBETWEEN(1,2))</f>
        <v>Delayed</v>
      </c>
    </row>
    <row r="63" spans="1:10" x14ac:dyDescent="0.25">
      <c r="A63" t="str">
        <f t="shared" ca="1" si="0"/>
        <v>7QEMZ48L</v>
      </c>
      <c r="B63" s="11">
        <v>45919</v>
      </c>
      <c r="C63" s="12" t="str">
        <f t="shared" si="1"/>
        <v>Sep</v>
      </c>
      <c r="D63" t="s">
        <v>49</v>
      </c>
      <c r="E63" t="str">
        <f>VLOOKUP(D63,Products!$A:$B,2,FALSE)</f>
        <v>Purely Almond &amp; Chia Seed Millet Oats Biscuits</v>
      </c>
      <c r="F63" t="str">
        <f ca="1">INDEX({"W101","W102","W103","W104"},RANDBETWEEN(1,4))</f>
        <v>W101</v>
      </c>
      <c r="G63">
        <v>191</v>
      </c>
      <c r="H63">
        <f>VLOOKUP(D63,Products!$A:$F,5,FALSE)</f>
        <v>149</v>
      </c>
      <c r="I63">
        <f t="shared" si="2"/>
        <v>28459</v>
      </c>
      <c r="J63" t="str">
        <f ca="1">INDEX({"Delivered","Delayed"},RANDBETWEEN(1,2))</f>
        <v>Delivered</v>
      </c>
    </row>
    <row r="64" spans="1:10" x14ac:dyDescent="0.25">
      <c r="A64" t="str">
        <f t="shared" ca="1" si="0"/>
        <v>L86BOJTV</v>
      </c>
      <c r="B64" s="11">
        <v>45773</v>
      </c>
      <c r="C64" s="12" t="str">
        <f t="shared" si="1"/>
        <v>Apr</v>
      </c>
      <c r="D64" t="s">
        <v>51</v>
      </c>
      <c r="E64" t="str">
        <f>VLOOKUP(D64,Products!$A:$B,2,FALSE)</f>
        <v>Purely Keto-Friendly Coconut Flour Cookies</v>
      </c>
      <c r="F64" t="str">
        <f ca="1">INDEX({"W101","W102","W103","W104"},RANDBETWEEN(1,4))</f>
        <v>W104</v>
      </c>
      <c r="G64">
        <v>102</v>
      </c>
      <c r="H64">
        <f>VLOOKUP(D64,Products!$A:$F,5,FALSE)</f>
        <v>220</v>
      </c>
      <c r="I64">
        <f t="shared" si="2"/>
        <v>22440</v>
      </c>
      <c r="J64" t="str">
        <f ca="1">INDEX({"Delivered","Delayed"},RANDBETWEEN(1,2))</f>
        <v>Delayed</v>
      </c>
    </row>
    <row r="65" spans="1:10" x14ac:dyDescent="0.25">
      <c r="A65" t="str">
        <f t="shared" ca="1" si="0"/>
        <v>2TKW3G44</v>
      </c>
      <c r="B65" s="11">
        <v>45906</v>
      </c>
      <c r="C65" s="12" t="str">
        <f t="shared" si="1"/>
        <v>Sep</v>
      </c>
      <c r="D65" t="s">
        <v>53</v>
      </c>
      <c r="E65" t="str">
        <f>VLOOKUP(D65,Products!$A:$B,2,FALSE)</f>
        <v>Fresh Classic Salted Potato Chips (Party Pack)</v>
      </c>
      <c r="F65" t="str">
        <f ca="1">INDEX({"W101","W102","W103","W104"},RANDBETWEEN(1,4))</f>
        <v>W104</v>
      </c>
      <c r="G65">
        <v>30</v>
      </c>
      <c r="H65">
        <f>VLOOKUP(D65,Products!$A:$F,5,FALSE)</f>
        <v>50</v>
      </c>
      <c r="I65">
        <f t="shared" si="2"/>
        <v>1500</v>
      </c>
      <c r="J65" t="str">
        <f ca="1">INDEX({"Delivered","Delayed"},RANDBETWEEN(1,2))</f>
        <v>Delayed</v>
      </c>
    </row>
    <row r="66" spans="1:10" x14ac:dyDescent="0.25">
      <c r="A66" t="str">
        <f t="shared" ref="A66:A129" ca="1" si="3">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</f>
        <v>564JHVT6</v>
      </c>
      <c r="B66" s="11">
        <v>45711</v>
      </c>
      <c r="C66" s="12" t="str">
        <f t="shared" ref="C66:C129" si="4">TEXT(B66,"mmm")</f>
        <v>Feb</v>
      </c>
      <c r="D66" t="s">
        <v>55</v>
      </c>
      <c r="E66" t="str">
        <f>VLOOKUP(D66,Products!$A:$B,2,FALSE)</f>
        <v>Fresh Tangy Tomato Masala Potato Chips</v>
      </c>
      <c r="F66" t="str">
        <f ca="1">INDEX({"W101","W102","W103","W104"},RANDBETWEEN(1,4))</f>
        <v>W102</v>
      </c>
      <c r="G66">
        <v>113</v>
      </c>
      <c r="H66">
        <f>VLOOKUP(D66,Products!$A:$F,5,FALSE)</f>
        <v>30</v>
      </c>
      <c r="I66">
        <f t="shared" ref="I66:I129" si="5">H66*G66</f>
        <v>3390</v>
      </c>
      <c r="J66" t="str">
        <f ca="1">INDEX({"Delivered","Delayed"},RANDBETWEEN(1,2))</f>
        <v>Delayed</v>
      </c>
    </row>
    <row r="67" spans="1:10" x14ac:dyDescent="0.25">
      <c r="A67" t="str">
        <f t="shared" ca="1" si="3"/>
        <v>DA16DMIP</v>
      </c>
      <c r="B67" s="11">
        <v>45741</v>
      </c>
      <c r="C67" s="12" t="str">
        <f t="shared" si="4"/>
        <v>Mar</v>
      </c>
      <c r="D67" t="s">
        <v>57</v>
      </c>
      <c r="E67" t="str">
        <f>VLOOKUP(D67,Products!$A:$B,2,FALSE)</f>
        <v>Fresh Crunchy Peri-Peri Corn Puffs</v>
      </c>
      <c r="F67" t="str">
        <f ca="1">INDEX({"W101","W102","W103","W104"},RANDBETWEEN(1,4))</f>
        <v>W104</v>
      </c>
      <c r="G67">
        <v>21</v>
      </c>
      <c r="H67">
        <f>VLOOKUP(D67,Products!$A:$F,5,FALSE)</f>
        <v>45</v>
      </c>
      <c r="I67">
        <f t="shared" si="5"/>
        <v>945</v>
      </c>
      <c r="J67" t="str">
        <f ca="1">INDEX({"Delivered","Delayed"},RANDBETWEEN(1,2))</f>
        <v>Delayed</v>
      </c>
    </row>
    <row r="68" spans="1:10" x14ac:dyDescent="0.25">
      <c r="A68" t="str">
        <f t="shared" ca="1" si="3"/>
        <v>UEHT6PNZ</v>
      </c>
      <c r="B68" s="11">
        <v>45664</v>
      </c>
      <c r="C68" s="12" t="str">
        <f t="shared" si="4"/>
        <v>Jan</v>
      </c>
      <c r="D68" t="s">
        <v>15</v>
      </c>
      <c r="E68" t="str">
        <f>VLOOKUP(D68,Products!$A:$B,2,FALSE)</f>
        <v>Purely Activated Charcoal Deep Cleanse Men’s Shampoo</v>
      </c>
      <c r="F68" t="str">
        <f ca="1">INDEX({"W101","W102","W103","W104"},RANDBETWEEN(1,4))</f>
        <v>W101</v>
      </c>
      <c r="G68">
        <v>87</v>
      </c>
      <c r="H68">
        <f>VLOOKUP(D68,Products!$A:$F,5,FALSE)</f>
        <v>349</v>
      </c>
      <c r="I68">
        <f t="shared" si="5"/>
        <v>30363</v>
      </c>
      <c r="J68" t="str">
        <f ca="1">INDEX({"Delivered","Delayed"},RANDBETWEEN(1,2))</f>
        <v>Delayed</v>
      </c>
    </row>
    <row r="69" spans="1:10" x14ac:dyDescent="0.25">
      <c r="A69" t="str">
        <f t="shared" ca="1" si="3"/>
        <v>NE6D5F8S</v>
      </c>
      <c r="B69" s="11">
        <v>45897</v>
      </c>
      <c r="C69" s="12" t="str">
        <f t="shared" si="4"/>
        <v>Aug</v>
      </c>
      <c r="D69" t="s">
        <v>15</v>
      </c>
      <c r="E69" t="str">
        <f>VLOOKUP(D69,Products!$A:$B,2,FALSE)</f>
        <v>Purely Activated Charcoal Deep Cleanse Men’s Shampoo</v>
      </c>
      <c r="F69" t="str">
        <f ca="1">INDEX({"W101","W102","W103","W104"},RANDBETWEEN(1,4))</f>
        <v>W104</v>
      </c>
      <c r="G69">
        <v>78</v>
      </c>
      <c r="H69">
        <f>VLOOKUP(D69,Products!$A:$F,5,FALSE)</f>
        <v>349</v>
      </c>
      <c r="I69">
        <f t="shared" si="5"/>
        <v>27222</v>
      </c>
      <c r="J69" t="str">
        <f ca="1">INDEX({"Delivered","Delayed"},RANDBETWEEN(1,2))</f>
        <v>Delayed</v>
      </c>
    </row>
    <row r="70" spans="1:10" x14ac:dyDescent="0.25">
      <c r="A70" t="str">
        <f t="shared" ca="1" si="3"/>
        <v>9CTDLLO4</v>
      </c>
      <c r="B70" s="11">
        <v>45748</v>
      </c>
      <c r="C70" s="12" t="str">
        <f t="shared" si="4"/>
        <v>Apr</v>
      </c>
      <c r="D70" t="s">
        <v>63</v>
      </c>
      <c r="E70" t="str">
        <f>VLOOKUP(D70,Products!$A:$B,2,FALSE)</f>
        <v>Fresh 100% Pure Mixed Fruit Juice</v>
      </c>
      <c r="F70" t="str">
        <f ca="1">INDEX({"W101","W102","W103","W104"},RANDBETWEEN(1,4))</f>
        <v>W102</v>
      </c>
      <c r="G70">
        <v>142</v>
      </c>
      <c r="H70">
        <f>VLOOKUP(D70,Products!$A:$F,5,FALSE)</f>
        <v>125</v>
      </c>
      <c r="I70">
        <f t="shared" si="5"/>
        <v>17750</v>
      </c>
      <c r="J70" t="str">
        <f ca="1">INDEX({"Delivered","Delayed"},RANDBETWEEN(1,2))</f>
        <v>Delayed</v>
      </c>
    </row>
    <row r="71" spans="1:10" x14ac:dyDescent="0.25">
      <c r="A71" t="str">
        <f t="shared" ca="1" si="3"/>
        <v>M1ZRCTHK</v>
      </c>
      <c r="B71" s="11">
        <v>45780</v>
      </c>
      <c r="C71" s="12" t="str">
        <f t="shared" si="4"/>
        <v>May</v>
      </c>
      <c r="D71" t="s">
        <v>66</v>
      </c>
      <c r="E71" t="str">
        <f>VLOOKUP(D71,Products!$A:$B,2,FALSE)</f>
        <v>Fresh Refreshing Alphonso Mango Drink</v>
      </c>
      <c r="F71" t="str">
        <f ca="1">INDEX({"W101","W102","W103","W104"},RANDBETWEEN(1,4))</f>
        <v>W103</v>
      </c>
      <c r="G71">
        <v>94</v>
      </c>
      <c r="H71">
        <f>VLOOKUP(D71,Products!$A:$F,5,FALSE)</f>
        <v>99</v>
      </c>
      <c r="I71">
        <f t="shared" si="5"/>
        <v>9306</v>
      </c>
      <c r="J71" t="str">
        <f ca="1">INDEX({"Delivered","Delayed"},RANDBETWEEN(1,2))</f>
        <v>Delivered</v>
      </c>
    </row>
    <row r="72" spans="1:10" x14ac:dyDescent="0.25">
      <c r="A72" t="str">
        <f t="shared" ca="1" si="3"/>
        <v>QF8TINZS</v>
      </c>
      <c r="B72" s="11">
        <v>45842</v>
      </c>
      <c r="C72" s="12" t="str">
        <f t="shared" si="4"/>
        <v>Jul</v>
      </c>
      <c r="D72" t="s">
        <v>68</v>
      </c>
      <c r="E72" t="str">
        <f>VLOOKUP(D72,Products!$A:$B,2,FALSE)</f>
        <v>Fresh Zesty Orange Juice with Juicy Pulp</v>
      </c>
      <c r="F72" t="str">
        <f ca="1">INDEX({"W101","W102","W103","W104"},RANDBETWEEN(1,4))</f>
        <v>W103</v>
      </c>
      <c r="G72">
        <v>175</v>
      </c>
      <c r="H72">
        <f>VLOOKUP(D72,Products!$A:$F,5,FALSE)</f>
        <v>115</v>
      </c>
      <c r="I72">
        <f t="shared" si="5"/>
        <v>20125</v>
      </c>
      <c r="J72" t="str">
        <f ca="1">INDEX({"Delivered","Delayed"},RANDBETWEEN(1,2))</f>
        <v>Delayed</v>
      </c>
    </row>
    <row r="73" spans="1:10" x14ac:dyDescent="0.25">
      <c r="A73" t="str">
        <f t="shared" ca="1" si="3"/>
        <v>5NVPDGR1</v>
      </c>
      <c r="B73" s="11">
        <v>45826</v>
      </c>
      <c r="C73" s="12" t="str">
        <f t="shared" si="4"/>
        <v>Jun</v>
      </c>
      <c r="D73" t="s">
        <v>70</v>
      </c>
      <c r="E73" t="str">
        <f>VLOOKUP(D73,Products!$A:$B,2,FALSE)</f>
        <v>Fresh Guava Chilli Tangy Nectar</v>
      </c>
      <c r="F73" t="str">
        <f ca="1">INDEX({"W101","W102","W103","W104"},RANDBETWEEN(1,4))</f>
        <v>W101</v>
      </c>
      <c r="G73">
        <v>95</v>
      </c>
      <c r="H73">
        <f>VLOOKUP(D73,Products!$A:$F,5,FALSE)</f>
        <v>120</v>
      </c>
      <c r="I73">
        <f t="shared" si="5"/>
        <v>11400</v>
      </c>
      <c r="J73" t="str">
        <f ca="1">INDEX({"Delivered","Delayed"},RANDBETWEEN(1,2))</f>
        <v>Delayed</v>
      </c>
    </row>
    <row r="74" spans="1:10" x14ac:dyDescent="0.25">
      <c r="A74" t="str">
        <f t="shared" ca="1" si="3"/>
        <v>TESI27MQ</v>
      </c>
      <c r="B74" s="11">
        <v>45962</v>
      </c>
      <c r="C74" s="12" t="str">
        <f t="shared" si="4"/>
        <v>Nov</v>
      </c>
      <c r="D74" t="s">
        <v>72</v>
      </c>
      <c r="E74" t="str">
        <f>VLOOKUP(D74,Products!$A:$B,2,FALSE)</f>
        <v>Purely Cold-Pressed Green Juice (Spinach, Cucumber, Green Apple)</v>
      </c>
      <c r="F74" t="str">
        <f ca="1">INDEX({"W101","W102","W103","W104"},RANDBETWEEN(1,4))</f>
        <v>W101</v>
      </c>
      <c r="G74">
        <v>115</v>
      </c>
      <c r="H74">
        <f>VLOOKUP(D74,Products!$A:$F,5,FALSE)</f>
        <v>249</v>
      </c>
      <c r="I74">
        <f t="shared" si="5"/>
        <v>28635</v>
      </c>
      <c r="J74" t="str">
        <f ca="1">INDEX({"Delivered","Delayed"},RANDBETWEEN(1,2))</f>
        <v>Delivered</v>
      </c>
    </row>
    <row r="75" spans="1:10" x14ac:dyDescent="0.25">
      <c r="A75" t="str">
        <f t="shared" ca="1" si="3"/>
        <v>9ALLD1GG</v>
      </c>
      <c r="B75" s="11">
        <v>45877</v>
      </c>
      <c r="C75" s="12" t="str">
        <f t="shared" si="4"/>
        <v>Aug</v>
      </c>
      <c r="D75" t="s">
        <v>74</v>
      </c>
      <c r="E75" t="str">
        <f>VLOOKUP(D75,Products!$A:$B,2,FALSE)</f>
        <v>Purely Antioxidant Pomegranate &amp; Beetroot Detox Juice</v>
      </c>
      <c r="F75" t="str">
        <f ca="1">INDEX({"W101","W102","W103","W104"},RANDBETWEEN(1,4))</f>
        <v>W102</v>
      </c>
      <c r="G75">
        <v>167</v>
      </c>
      <c r="H75">
        <f>VLOOKUP(D75,Products!$A:$F,5,FALSE)</f>
        <v>275</v>
      </c>
      <c r="I75">
        <f t="shared" si="5"/>
        <v>45925</v>
      </c>
      <c r="J75" t="str">
        <f ca="1">INDEX({"Delivered","Delayed"},RANDBETWEEN(1,2))</f>
        <v>Delayed</v>
      </c>
    </row>
    <row r="76" spans="1:10" x14ac:dyDescent="0.25">
      <c r="A76" t="str">
        <f t="shared" ca="1" si="3"/>
        <v>L2ACYLPE</v>
      </c>
      <c r="B76" s="11">
        <v>45756</v>
      </c>
      <c r="C76" s="12" t="str">
        <f t="shared" si="4"/>
        <v>Apr</v>
      </c>
      <c r="D76" t="s">
        <v>76</v>
      </c>
      <c r="E76" t="str">
        <f>VLOOKUP(D76,Products!$A:$B,2,FALSE)</f>
        <v>Fresh Strong Assam CTC Daily Chai</v>
      </c>
      <c r="F76" t="str">
        <f ca="1">INDEX({"W101","W102","W103","W104"},RANDBETWEEN(1,4))</f>
        <v>W101</v>
      </c>
      <c r="G76">
        <v>121</v>
      </c>
      <c r="H76">
        <f>VLOOKUP(D76,Products!$A:$F,5,FALSE)</f>
        <v>160</v>
      </c>
      <c r="I76">
        <f t="shared" si="5"/>
        <v>19360</v>
      </c>
      <c r="J76" t="str">
        <f ca="1">INDEX({"Delivered","Delayed"},RANDBETWEEN(1,2))</f>
        <v>Delivered</v>
      </c>
    </row>
    <row r="77" spans="1:10" x14ac:dyDescent="0.25">
      <c r="A77" t="str">
        <f t="shared" ca="1" si="3"/>
        <v>PLC8HZ96</v>
      </c>
      <c r="B77" s="11">
        <v>45821</v>
      </c>
      <c r="C77" s="12" t="str">
        <f t="shared" si="4"/>
        <v>Jun</v>
      </c>
      <c r="D77" t="s">
        <v>15</v>
      </c>
      <c r="E77" t="str">
        <f>VLOOKUP(D77,Products!$A:$B,2,FALSE)</f>
        <v>Purely Activated Charcoal Deep Cleanse Men’s Shampoo</v>
      </c>
      <c r="F77" t="str">
        <f ca="1">INDEX({"W101","W102","W103","W104"},RANDBETWEEN(1,4))</f>
        <v>W104</v>
      </c>
      <c r="G77">
        <v>57</v>
      </c>
      <c r="H77">
        <f>VLOOKUP(D77,Products!$A:$F,5,FALSE)</f>
        <v>349</v>
      </c>
      <c r="I77">
        <f t="shared" si="5"/>
        <v>19893</v>
      </c>
      <c r="J77" t="str">
        <f ca="1">INDEX({"Delivered","Delayed"},RANDBETWEEN(1,2))</f>
        <v>Delayed</v>
      </c>
    </row>
    <row r="78" spans="1:10" x14ac:dyDescent="0.25">
      <c r="A78" t="str">
        <f t="shared" ca="1" si="3"/>
        <v>I2B3UOM8</v>
      </c>
      <c r="B78" s="11">
        <v>45884</v>
      </c>
      <c r="C78" s="12" t="str">
        <f t="shared" si="4"/>
        <v>Aug</v>
      </c>
      <c r="D78" t="s">
        <v>80</v>
      </c>
      <c r="E78" t="str">
        <f>VLOOKUP(D78,Products!$A:$B,2,FALSE)</f>
        <v>Fresh Refreshing Lemon Ice Tea Mix</v>
      </c>
      <c r="F78" t="str">
        <f ca="1">INDEX({"W101","W102","W103","W104"},RANDBETWEEN(1,4))</f>
        <v>W102</v>
      </c>
      <c r="G78">
        <v>53</v>
      </c>
      <c r="H78">
        <f>VLOOKUP(D78,Products!$A:$F,5,FALSE)</f>
        <v>150</v>
      </c>
      <c r="I78">
        <f t="shared" si="5"/>
        <v>7950</v>
      </c>
      <c r="J78" t="str">
        <f ca="1">INDEX({"Delivered","Delayed"},RANDBETWEEN(1,2))</f>
        <v>Delayed</v>
      </c>
    </row>
    <row r="79" spans="1:10" x14ac:dyDescent="0.25">
      <c r="A79" t="str">
        <f t="shared" ca="1" si="3"/>
        <v>JQCRIYNL</v>
      </c>
      <c r="B79" s="11">
        <v>45825</v>
      </c>
      <c r="C79" s="12" t="str">
        <f t="shared" si="4"/>
        <v>Jun</v>
      </c>
      <c r="D79" t="s">
        <v>82</v>
      </c>
      <c r="E79" t="str">
        <f>VLOOKUP(D79,Products!$A:$B,2,FALSE)</f>
        <v>Purely Organic Himalayan Green Tea (Whole Leaf)</v>
      </c>
      <c r="F79" t="str">
        <f ca="1">INDEX({"W101","W102","W103","W104"},RANDBETWEEN(1,4))</f>
        <v>W103</v>
      </c>
      <c r="G79">
        <v>22</v>
      </c>
      <c r="H79">
        <f>VLOOKUP(D79,Products!$A:$F,5,FALSE)</f>
        <v>349</v>
      </c>
      <c r="I79">
        <f t="shared" si="5"/>
        <v>7678</v>
      </c>
      <c r="J79" t="str">
        <f ca="1">INDEX({"Delivered","Delayed"},RANDBETWEEN(1,2))</f>
        <v>Delivered</v>
      </c>
    </row>
    <row r="80" spans="1:10" x14ac:dyDescent="0.25">
      <c r="A80" t="str">
        <f t="shared" ca="1" si="3"/>
        <v>OGNLJ8GI</v>
      </c>
      <c r="B80" s="11">
        <v>45662</v>
      </c>
      <c r="C80" s="12" t="str">
        <f t="shared" si="4"/>
        <v>Jan</v>
      </c>
      <c r="D80" t="s">
        <v>84</v>
      </c>
      <c r="E80" t="str">
        <f>VLOOKUP(D80,Products!$A:$B,2,FALSE)</f>
        <v>Purely Soothing Chamomile &amp; Lavender Herbal Tea Infusion</v>
      </c>
      <c r="F80" t="str">
        <f ca="1">INDEX({"W101","W102","W103","W104"},RANDBETWEEN(1,4))</f>
        <v>W102</v>
      </c>
      <c r="G80">
        <v>193</v>
      </c>
      <c r="H80">
        <f>VLOOKUP(D80,Products!$A:$F,5,FALSE)</f>
        <v>399</v>
      </c>
      <c r="I80">
        <f t="shared" si="5"/>
        <v>77007</v>
      </c>
      <c r="J80" t="str">
        <f ca="1">INDEX({"Delivered","Delayed"},RANDBETWEEN(1,2))</f>
        <v>Delivered</v>
      </c>
    </row>
    <row r="81" spans="1:10" x14ac:dyDescent="0.25">
      <c r="A81" t="str">
        <f t="shared" ca="1" si="3"/>
        <v>Q92JLL2Q</v>
      </c>
      <c r="B81" s="11">
        <v>45842</v>
      </c>
      <c r="C81" s="12" t="str">
        <f t="shared" si="4"/>
        <v>Jul</v>
      </c>
      <c r="D81" t="s">
        <v>86</v>
      </c>
      <c r="E81" t="str">
        <f>VLOOKUP(D81,Products!$A:$B,2,FALSE)</f>
        <v>Purely Detox Matcha Tea Powder</v>
      </c>
      <c r="F81" t="str">
        <f ca="1">INDEX({"W101","W102","W103","W104"},RANDBETWEEN(1,4))</f>
        <v>W103</v>
      </c>
      <c r="G81">
        <v>123</v>
      </c>
      <c r="H81">
        <f>VLOOKUP(D81,Products!$A:$F,5,FALSE)</f>
        <v>599</v>
      </c>
      <c r="I81">
        <f t="shared" si="5"/>
        <v>73677</v>
      </c>
      <c r="J81" t="str">
        <f ca="1">INDEX({"Delivered","Delayed"},RANDBETWEEN(1,2))</f>
        <v>Delayed</v>
      </c>
    </row>
    <row r="82" spans="1:10" x14ac:dyDescent="0.25">
      <c r="A82" t="str">
        <f t="shared" ca="1" si="3"/>
        <v>EUERWDJ6</v>
      </c>
      <c r="B82" s="11">
        <v>45813</v>
      </c>
      <c r="C82" s="12" t="str">
        <f t="shared" si="4"/>
        <v>Jun</v>
      </c>
      <c r="D82" t="s">
        <v>72</v>
      </c>
      <c r="E82" t="str">
        <f>VLOOKUP(D82,Products!$A:$B,2,FALSE)</f>
        <v>Purely Cold-Pressed Green Juice (Spinach, Cucumber, Green Apple)</v>
      </c>
      <c r="F82" t="str">
        <f ca="1">INDEX({"W101","W102","W103","W104"},RANDBETWEEN(1,4))</f>
        <v>W101</v>
      </c>
      <c r="G82">
        <v>141</v>
      </c>
      <c r="H82">
        <f>VLOOKUP(D82,Products!$A:$F,5,FALSE)</f>
        <v>249</v>
      </c>
      <c r="I82">
        <f t="shared" si="5"/>
        <v>35109</v>
      </c>
      <c r="J82" t="str">
        <f ca="1">INDEX({"Delivered","Delayed"},RANDBETWEEN(1,2))</f>
        <v>Delivered</v>
      </c>
    </row>
    <row r="83" spans="1:10" x14ac:dyDescent="0.25">
      <c r="A83" t="str">
        <f t="shared" ca="1" si="3"/>
        <v>QH1XUCCT</v>
      </c>
      <c r="B83" s="11">
        <v>45857</v>
      </c>
      <c r="C83" s="12" t="str">
        <f t="shared" si="4"/>
        <v>Jul</v>
      </c>
      <c r="D83" t="s">
        <v>72</v>
      </c>
      <c r="E83" t="str">
        <f>VLOOKUP(D83,Products!$A:$B,2,FALSE)</f>
        <v>Purely Cold-Pressed Green Juice (Spinach, Cucumber, Green Apple)</v>
      </c>
      <c r="F83" t="str">
        <f ca="1">INDEX({"W101","W102","W103","W104"},RANDBETWEEN(1,4))</f>
        <v>W102</v>
      </c>
      <c r="G83">
        <v>164</v>
      </c>
      <c r="H83">
        <f>VLOOKUP(D83,Products!$A:$F,5,FALSE)</f>
        <v>249</v>
      </c>
      <c r="I83">
        <f t="shared" si="5"/>
        <v>40836</v>
      </c>
      <c r="J83" t="str">
        <f ca="1">INDEX({"Delivered","Delayed"},RANDBETWEEN(1,2))</f>
        <v>Delivered</v>
      </c>
    </row>
    <row r="84" spans="1:10" x14ac:dyDescent="0.25">
      <c r="A84" t="str">
        <f t="shared" ca="1" si="3"/>
        <v>Z232N4FU</v>
      </c>
      <c r="B84" s="11">
        <v>45816</v>
      </c>
      <c r="C84" s="12" t="str">
        <f t="shared" si="4"/>
        <v>Jun</v>
      </c>
      <c r="D84" t="s">
        <v>72</v>
      </c>
      <c r="E84" t="str">
        <f>VLOOKUP(D84,Products!$A:$B,2,FALSE)</f>
        <v>Purely Cold-Pressed Green Juice (Spinach, Cucumber, Green Apple)</v>
      </c>
      <c r="F84" t="str">
        <f ca="1">INDEX({"W101","W102","W103","W104"},RANDBETWEEN(1,4))</f>
        <v>W103</v>
      </c>
      <c r="G84">
        <v>67</v>
      </c>
      <c r="H84">
        <f>VLOOKUP(D84,Products!$A:$F,5,FALSE)</f>
        <v>249</v>
      </c>
      <c r="I84">
        <f t="shared" si="5"/>
        <v>16683</v>
      </c>
      <c r="J84" t="str">
        <f ca="1">INDEX({"Delivered","Delayed"},RANDBETWEEN(1,2))</f>
        <v>Delayed</v>
      </c>
    </row>
    <row r="85" spans="1:10" x14ac:dyDescent="0.25">
      <c r="A85" t="str">
        <f t="shared" ca="1" si="3"/>
        <v>BIEM30B5</v>
      </c>
      <c r="B85" s="11">
        <v>45789</v>
      </c>
      <c r="C85" s="12" t="str">
        <f t="shared" si="4"/>
        <v>May</v>
      </c>
      <c r="D85" t="s">
        <v>15</v>
      </c>
      <c r="E85" t="str">
        <f>VLOOKUP(D85,Products!$A:$B,2,FALSE)</f>
        <v>Purely Activated Charcoal Deep Cleanse Men’s Shampoo</v>
      </c>
      <c r="F85" t="str">
        <f ca="1">INDEX({"W101","W102","W103","W104"},RANDBETWEEN(1,4))</f>
        <v>W103</v>
      </c>
      <c r="G85">
        <v>36</v>
      </c>
      <c r="H85">
        <f>VLOOKUP(D85,Products!$A:$F,5,FALSE)</f>
        <v>349</v>
      </c>
      <c r="I85">
        <f t="shared" si="5"/>
        <v>12564</v>
      </c>
      <c r="J85" t="str">
        <f ca="1">INDEX({"Delivered","Delayed"},RANDBETWEEN(1,2))</f>
        <v>Delayed</v>
      </c>
    </row>
    <row r="86" spans="1:10" x14ac:dyDescent="0.25">
      <c r="A86" t="str">
        <f t="shared" ca="1" si="3"/>
        <v>1QHLQ0GY</v>
      </c>
      <c r="B86" s="11">
        <v>45774</v>
      </c>
      <c r="C86" s="12" t="str">
        <f t="shared" si="4"/>
        <v>Apr</v>
      </c>
      <c r="D86" t="s">
        <v>84</v>
      </c>
      <c r="E86" t="str">
        <f>VLOOKUP(D86,Products!$A:$B,2,FALSE)</f>
        <v>Purely Soothing Chamomile &amp; Lavender Herbal Tea Infusion</v>
      </c>
      <c r="F86" t="str">
        <f ca="1">INDEX({"W101","W102","W103","W104"},RANDBETWEEN(1,4))</f>
        <v>W103</v>
      </c>
      <c r="G86">
        <v>123</v>
      </c>
      <c r="H86">
        <f>VLOOKUP(D86,Products!$A:$F,5,FALSE)</f>
        <v>399</v>
      </c>
      <c r="I86">
        <f t="shared" si="5"/>
        <v>49077</v>
      </c>
      <c r="J86" t="str">
        <f ca="1">INDEX({"Delivered","Delayed"},RANDBETWEEN(1,2))</f>
        <v>Delivered</v>
      </c>
    </row>
    <row r="87" spans="1:10" x14ac:dyDescent="0.25">
      <c r="A87" t="str">
        <f t="shared" ca="1" si="3"/>
        <v>KEJVH8A9</v>
      </c>
      <c r="B87" s="11">
        <v>45702</v>
      </c>
      <c r="C87" s="12" t="str">
        <f t="shared" si="4"/>
        <v>Feb</v>
      </c>
      <c r="D87" t="s">
        <v>84</v>
      </c>
      <c r="E87" t="str">
        <f>VLOOKUP(D87,Products!$A:$B,2,FALSE)</f>
        <v>Purely Soothing Chamomile &amp; Lavender Herbal Tea Infusion</v>
      </c>
      <c r="F87" t="str">
        <f ca="1">INDEX({"W101","W102","W103","W104"},RANDBETWEEN(1,4))</f>
        <v>W103</v>
      </c>
      <c r="G87">
        <v>39</v>
      </c>
      <c r="H87">
        <f>VLOOKUP(D87,Products!$A:$F,5,FALSE)</f>
        <v>399</v>
      </c>
      <c r="I87">
        <f t="shared" si="5"/>
        <v>15561</v>
      </c>
      <c r="J87" t="str">
        <f ca="1">INDEX({"Delivered","Delayed"},RANDBETWEEN(1,2))</f>
        <v>Delayed</v>
      </c>
    </row>
    <row r="88" spans="1:10" x14ac:dyDescent="0.25">
      <c r="A88" t="str">
        <f t="shared" ca="1" si="3"/>
        <v>SN58D2CE</v>
      </c>
      <c r="B88" s="11">
        <v>45856</v>
      </c>
      <c r="C88" s="12" t="str">
        <f t="shared" si="4"/>
        <v>Jul</v>
      </c>
      <c r="D88" t="s">
        <v>15</v>
      </c>
      <c r="E88" t="str">
        <f>VLOOKUP(D88,Products!$A:$B,2,FALSE)</f>
        <v>Purely Activated Charcoal Deep Cleanse Men’s Shampoo</v>
      </c>
      <c r="F88" t="str">
        <f ca="1">INDEX({"W101","W102","W103","W104"},RANDBETWEEN(1,4))</f>
        <v>W102</v>
      </c>
      <c r="G88">
        <v>136</v>
      </c>
      <c r="H88">
        <f>VLOOKUP(D88,Products!$A:$F,5,FALSE)</f>
        <v>349</v>
      </c>
      <c r="I88">
        <f t="shared" si="5"/>
        <v>47464</v>
      </c>
      <c r="J88" t="str">
        <f ca="1">INDEX({"Delivered","Delayed"},RANDBETWEEN(1,2))</f>
        <v>Delayed</v>
      </c>
    </row>
    <row r="89" spans="1:10" x14ac:dyDescent="0.25">
      <c r="A89" t="str">
        <f t="shared" ca="1" si="3"/>
        <v>JOY1NCWY</v>
      </c>
      <c r="B89" s="11">
        <v>45720</v>
      </c>
      <c r="C89" s="12" t="str">
        <f t="shared" si="4"/>
        <v>Mar</v>
      </c>
      <c r="D89" t="s">
        <v>15</v>
      </c>
      <c r="E89" t="str">
        <f>VLOOKUP(D89,Products!$A:$B,2,FALSE)</f>
        <v>Purely Activated Charcoal Deep Cleanse Men’s Shampoo</v>
      </c>
      <c r="F89" t="str">
        <f ca="1">INDEX({"W101","W102","W103","W104"},RANDBETWEEN(1,4))</f>
        <v>W102</v>
      </c>
      <c r="G89">
        <v>102</v>
      </c>
      <c r="H89">
        <f>VLOOKUP(D89,Products!$A:$F,5,FALSE)</f>
        <v>349</v>
      </c>
      <c r="I89">
        <f t="shared" si="5"/>
        <v>35598</v>
      </c>
      <c r="J89" t="str">
        <f ca="1">INDEX({"Delivered","Delayed"},RANDBETWEEN(1,2))</f>
        <v>Delivered</v>
      </c>
    </row>
    <row r="90" spans="1:10" x14ac:dyDescent="0.25">
      <c r="A90" t="str">
        <f t="shared" ca="1" si="3"/>
        <v>GEGPU4Y0</v>
      </c>
      <c r="B90" s="11">
        <v>45660</v>
      </c>
      <c r="C90" s="12" t="str">
        <f t="shared" si="4"/>
        <v>Jan</v>
      </c>
      <c r="D90" t="s">
        <v>15</v>
      </c>
      <c r="E90" t="str">
        <f>VLOOKUP(D90,Products!$A:$B,2,FALSE)</f>
        <v>Purely Activated Charcoal Deep Cleanse Men’s Shampoo</v>
      </c>
      <c r="F90" t="str">
        <f ca="1">INDEX({"W101","W102","W103","W104"},RANDBETWEEN(1,4))</f>
        <v>W104</v>
      </c>
      <c r="G90">
        <v>23</v>
      </c>
      <c r="H90">
        <f>VLOOKUP(D90,Products!$A:$F,5,FALSE)</f>
        <v>349</v>
      </c>
      <c r="I90">
        <f t="shared" si="5"/>
        <v>8027</v>
      </c>
      <c r="J90" t="str">
        <f ca="1">INDEX({"Delivered","Delayed"},RANDBETWEEN(1,2))</f>
        <v>Delivered</v>
      </c>
    </row>
    <row r="91" spans="1:10" x14ac:dyDescent="0.25">
      <c r="A91" t="str">
        <f t="shared" ca="1" si="3"/>
        <v>MSMDRVBK</v>
      </c>
      <c r="B91" s="11">
        <v>46013</v>
      </c>
      <c r="C91" s="12" t="str">
        <f t="shared" si="4"/>
        <v>Dec</v>
      </c>
      <c r="D91" t="s">
        <v>80</v>
      </c>
      <c r="E91" t="str">
        <f>VLOOKUP(D91,Products!$A:$B,2,FALSE)</f>
        <v>Fresh Refreshing Lemon Ice Tea Mix</v>
      </c>
      <c r="F91" t="str">
        <f ca="1">INDEX({"W101","W102","W103","W104"},RANDBETWEEN(1,4))</f>
        <v>W101</v>
      </c>
      <c r="G91">
        <v>135</v>
      </c>
      <c r="H91">
        <f>VLOOKUP(D91,Products!$A:$F,5,FALSE)</f>
        <v>150</v>
      </c>
      <c r="I91">
        <f t="shared" si="5"/>
        <v>20250</v>
      </c>
      <c r="J91" t="str">
        <f ca="1">INDEX({"Delivered","Delayed"},RANDBETWEEN(1,2))</f>
        <v>Delivered</v>
      </c>
    </row>
    <row r="92" spans="1:10" x14ac:dyDescent="0.25">
      <c r="A92" t="str">
        <f t="shared" ca="1" si="3"/>
        <v>ZT7NEEJX</v>
      </c>
      <c r="B92" s="11">
        <v>45854</v>
      </c>
      <c r="C92" s="12" t="str">
        <f t="shared" si="4"/>
        <v>Jul</v>
      </c>
      <c r="D92" t="s">
        <v>15</v>
      </c>
      <c r="E92" t="str">
        <f>VLOOKUP(D92,Products!$A:$B,2,FALSE)</f>
        <v>Purely Activated Charcoal Deep Cleanse Men’s Shampoo</v>
      </c>
      <c r="F92" t="str">
        <f ca="1">INDEX({"W101","W102","W103","W104"},RANDBETWEEN(1,4))</f>
        <v>W102</v>
      </c>
      <c r="G92">
        <v>25</v>
      </c>
      <c r="H92">
        <f>VLOOKUP(D92,Products!$A:$F,5,FALSE)</f>
        <v>349</v>
      </c>
      <c r="I92">
        <f t="shared" si="5"/>
        <v>8725</v>
      </c>
      <c r="J92" t="str">
        <f ca="1">INDEX({"Delivered","Delayed"},RANDBETWEEN(1,2))</f>
        <v>Delayed</v>
      </c>
    </row>
    <row r="93" spans="1:10" x14ac:dyDescent="0.25">
      <c r="A93" t="str">
        <f t="shared" ca="1" si="3"/>
        <v>ZUW95I2V</v>
      </c>
      <c r="B93" s="11">
        <v>45981</v>
      </c>
      <c r="C93" s="12" t="str">
        <f t="shared" si="4"/>
        <v>Nov</v>
      </c>
      <c r="D93" t="s">
        <v>84</v>
      </c>
      <c r="E93" t="str">
        <f>VLOOKUP(D93,Products!$A:$B,2,FALSE)</f>
        <v>Purely Soothing Chamomile &amp; Lavender Herbal Tea Infusion</v>
      </c>
      <c r="F93" t="str">
        <f ca="1">INDEX({"W101","W102","W103","W104"},RANDBETWEEN(1,4))</f>
        <v>W104</v>
      </c>
      <c r="G93">
        <v>160</v>
      </c>
      <c r="H93">
        <f>VLOOKUP(D93,Products!$A:$F,5,FALSE)</f>
        <v>399</v>
      </c>
      <c r="I93">
        <f t="shared" si="5"/>
        <v>63840</v>
      </c>
      <c r="J93" t="str">
        <f ca="1">INDEX({"Delivered","Delayed"},RANDBETWEEN(1,2))</f>
        <v>Delayed</v>
      </c>
    </row>
    <row r="94" spans="1:10" x14ac:dyDescent="0.25">
      <c r="A94" t="str">
        <f t="shared" ca="1" si="3"/>
        <v>B45DGI75</v>
      </c>
      <c r="B94" s="11">
        <v>45955</v>
      </c>
      <c r="C94" s="12" t="str">
        <f t="shared" si="4"/>
        <v>Oct</v>
      </c>
      <c r="D94" t="s">
        <v>84</v>
      </c>
      <c r="E94" t="str">
        <f>VLOOKUP(D94,Products!$A:$B,2,FALSE)</f>
        <v>Purely Soothing Chamomile &amp; Lavender Herbal Tea Infusion</v>
      </c>
      <c r="F94" t="str">
        <f ca="1">INDEX({"W101","W102","W103","W104"},RANDBETWEEN(1,4))</f>
        <v>W103</v>
      </c>
      <c r="G94">
        <v>53</v>
      </c>
      <c r="H94">
        <f>VLOOKUP(D94,Products!$A:$F,5,FALSE)</f>
        <v>399</v>
      </c>
      <c r="I94">
        <f t="shared" si="5"/>
        <v>21147</v>
      </c>
      <c r="J94" t="str">
        <f ca="1">INDEX({"Delivered","Delayed"},RANDBETWEEN(1,2))</f>
        <v>Delivered</v>
      </c>
    </row>
    <row r="95" spans="1:10" x14ac:dyDescent="0.25">
      <c r="A95" t="str">
        <f t="shared" ca="1" si="3"/>
        <v>JNPNY95N</v>
      </c>
      <c r="B95" s="11">
        <v>45760</v>
      </c>
      <c r="C95" s="12" t="str">
        <f t="shared" si="4"/>
        <v>Apr</v>
      </c>
      <c r="D95" t="s">
        <v>15</v>
      </c>
      <c r="E95" t="str">
        <f>VLOOKUP(D95,Products!$A:$B,2,FALSE)</f>
        <v>Purely Activated Charcoal Deep Cleanse Men’s Shampoo</v>
      </c>
      <c r="F95" t="str">
        <f ca="1">INDEX({"W101","W102","W103","W104"},RANDBETWEEN(1,4))</f>
        <v>W103</v>
      </c>
      <c r="G95">
        <v>80</v>
      </c>
      <c r="H95">
        <f>VLOOKUP(D95,Products!$A:$F,5,FALSE)</f>
        <v>349</v>
      </c>
      <c r="I95">
        <f t="shared" si="5"/>
        <v>27920</v>
      </c>
      <c r="J95" t="str">
        <f ca="1">INDEX({"Delivered","Delayed"},RANDBETWEEN(1,2))</f>
        <v>Delivered</v>
      </c>
    </row>
    <row r="96" spans="1:10" x14ac:dyDescent="0.25">
      <c r="A96" t="str">
        <f t="shared" ca="1" si="3"/>
        <v>PHDJ1R7J</v>
      </c>
      <c r="B96" s="11">
        <v>45838</v>
      </c>
      <c r="C96" s="12" t="str">
        <f t="shared" si="4"/>
        <v>Jun</v>
      </c>
      <c r="D96" t="s">
        <v>15</v>
      </c>
      <c r="E96" t="str">
        <f>VLOOKUP(D96,Products!$A:$B,2,FALSE)</f>
        <v>Purely Activated Charcoal Deep Cleanse Men’s Shampoo</v>
      </c>
      <c r="F96" t="str">
        <f ca="1">INDEX({"W101","W102","W103","W104"},RANDBETWEEN(1,4))</f>
        <v>W104</v>
      </c>
      <c r="G96">
        <v>60</v>
      </c>
      <c r="H96">
        <f>VLOOKUP(D96,Products!$A:$F,5,FALSE)</f>
        <v>349</v>
      </c>
      <c r="I96">
        <f t="shared" si="5"/>
        <v>20940</v>
      </c>
      <c r="J96" t="str">
        <f ca="1">INDEX({"Delivered","Delayed"},RANDBETWEEN(1,2))</f>
        <v>Delivered</v>
      </c>
    </row>
    <row r="97" spans="1:10" x14ac:dyDescent="0.25">
      <c r="A97" t="str">
        <f t="shared" ca="1" si="3"/>
        <v>46G4J55O</v>
      </c>
      <c r="B97" s="11">
        <v>45994</v>
      </c>
      <c r="C97" s="12" t="str">
        <f t="shared" si="4"/>
        <v>Dec</v>
      </c>
      <c r="D97" t="s">
        <v>15</v>
      </c>
      <c r="E97" t="str">
        <f>VLOOKUP(D97,Products!$A:$B,2,FALSE)</f>
        <v>Purely Activated Charcoal Deep Cleanse Men’s Shampoo</v>
      </c>
      <c r="F97" t="str">
        <f ca="1">INDEX({"W101","W102","W103","W104"},RANDBETWEEN(1,4))</f>
        <v>W103</v>
      </c>
      <c r="G97">
        <v>88</v>
      </c>
      <c r="H97">
        <f>VLOOKUP(D97,Products!$A:$F,5,FALSE)</f>
        <v>349</v>
      </c>
      <c r="I97">
        <f t="shared" si="5"/>
        <v>30712</v>
      </c>
      <c r="J97" t="str">
        <f ca="1">INDEX({"Delivered","Delayed"},RANDBETWEEN(1,2))</f>
        <v>Delivered</v>
      </c>
    </row>
    <row r="98" spans="1:10" x14ac:dyDescent="0.25">
      <c r="A98" t="str">
        <f t="shared" ca="1" si="3"/>
        <v>KJBNIVRX</v>
      </c>
      <c r="B98" s="11">
        <v>45730</v>
      </c>
      <c r="C98" s="12" t="str">
        <f t="shared" si="4"/>
        <v>Mar</v>
      </c>
      <c r="D98" t="s">
        <v>80</v>
      </c>
      <c r="E98" t="str">
        <f>VLOOKUP(D98,Products!$A:$B,2,FALSE)</f>
        <v>Fresh Refreshing Lemon Ice Tea Mix</v>
      </c>
      <c r="F98" t="str">
        <f ca="1">INDEX({"W101","W102","W103","W104"},RANDBETWEEN(1,4))</f>
        <v>W103</v>
      </c>
      <c r="G98">
        <v>126</v>
      </c>
      <c r="H98">
        <f>VLOOKUP(D98,Products!$A:$F,5,FALSE)</f>
        <v>150</v>
      </c>
      <c r="I98">
        <f t="shared" si="5"/>
        <v>18900</v>
      </c>
      <c r="J98" t="str">
        <f ca="1">INDEX({"Delivered","Delayed"},RANDBETWEEN(1,2))</f>
        <v>Delayed</v>
      </c>
    </row>
    <row r="99" spans="1:10" x14ac:dyDescent="0.25">
      <c r="A99" t="str">
        <f t="shared" ca="1" si="3"/>
        <v>NRS53ZQG</v>
      </c>
      <c r="B99" s="11">
        <v>45758</v>
      </c>
      <c r="C99" s="12" t="str">
        <f t="shared" si="4"/>
        <v>Apr</v>
      </c>
      <c r="D99" t="s">
        <v>15</v>
      </c>
      <c r="E99" t="str">
        <f>VLOOKUP(D99,Products!$A:$B,2,FALSE)</f>
        <v>Purely Activated Charcoal Deep Cleanse Men’s Shampoo</v>
      </c>
      <c r="F99" t="str">
        <f ca="1">INDEX({"W101","W102","W103","W104"},RANDBETWEEN(1,4))</f>
        <v>W104</v>
      </c>
      <c r="G99">
        <v>88</v>
      </c>
      <c r="H99">
        <f>VLOOKUP(D99,Products!$A:$F,5,FALSE)</f>
        <v>349</v>
      </c>
      <c r="I99">
        <f t="shared" si="5"/>
        <v>30712</v>
      </c>
      <c r="J99" t="str">
        <f ca="1">INDEX({"Delivered","Delayed"},RANDBETWEEN(1,2))</f>
        <v>Delivered</v>
      </c>
    </row>
    <row r="100" spans="1:10" x14ac:dyDescent="0.25">
      <c r="A100" t="str">
        <f t="shared" ca="1" si="3"/>
        <v>ENRKTZWR</v>
      </c>
      <c r="B100" s="11">
        <v>46009</v>
      </c>
      <c r="C100" s="12" t="str">
        <f t="shared" si="4"/>
        <v>Dec</v>
      </c>
      <c r="D100" t="s">
        <v>84</v>
      </c>
      <c r="E100" t="str">
        <f>VLOOKUP(D100,Products!$A:$B,2,FALSE)</f>
        <v>Purely Soothing Chamomile &amp; Lavender Herbal Tea Infusion</v>
      </c>
      <c r="F100" t="str">
        <f ca="1">INDEX({"W101","W102","W103","W104"},RANDBETWEEN(1,4))</f>
        <v>W101</v>
      </c>
      <c r="G100">
        <v>37</v>
      </c>
      <c r="H100">
        <f>VLOOKUP(D100,Products!$A:$F,5,FALSE)</f>
        <v>399</v>
      </c>
      <c r="I100">
        <f t="shared" si="5"/>
        <v>14763</v>
      </c>
      <c r="J100" t="str">
        <f ca="1">INDEX({"Delivered","Delayed"},RANDBETWEEN(1,2))</f>
        <v>Delayed</v>
      </c>
    </row>
    <row r="101" spans="1:10" x14ac:dyDescent="0.25">
      <c r="A101" t="str">
        <f t="shared" ca="1" si="3"/>
        <v>IBH0GWT3</v>
      </c>
      <c r="B101" s="11">
        <v>45876</v>
      </c>
      <c r="C101" s="12" t="str">
        <f t="shared" si="4"/>
        <v>Aug</v>
      </c>
      <c r="D101" t="s">
        <v>84</v>
      </c>
      <c r="E101" t="str">
        <f>VLOOKUP(D101,Products!$A:$B,2,FALSE)</f>
        <v>Purely Soothing Chamomile &amp; Lavender Herbal Tea Infusion</v>
      </c>
      <c r="F101" t="str">
        <f ca="1">INDEX({"W101","W102","W103","W104"},RANDBETWEEN(1,4))</f>
        <v>W102</v>
      </c>
      <c r="G101">
        <v>145</v>
      </c>
      <c r="H101">
        <f>VLOOKUP(D101,Products!$A:$F,5,FALSE)</f>
        <v>399</v>
      </c>
      <c r="I101">
        <f t="shared" si="5"/>
        <v>57855</v>
      </c>
      <c r="J101" t="str">
        <f ca="1">INDEX({"Delivered","Delayed"},RANDBETWEEN(1,2))</f>
        <v>Delivered</v>
      </c>
    </row>
    <row r="102" spans="1:10" x14ac:dyDescent="0.25">
      <c r="A102" t="str">
        <f t="shared" ca="1" si="3"/>
        <v>UMN3YRDY</v>
      </c>
      <c r="B102" s="11">
        <v>46018</v>
      </c>
      <c r="C102" s="12" t="str">
        <f t="shared" si="4"/>
        <v>Dec</v>
      </c>
      <c r="D102" t="s">
        <v>15</v>
      </c>
      <c r="E102" t="str">
        <f>VLOOKUP(D102,Products!$A:$B,2,FALSE)</f>
        <v>Purely Activated Charcoal Deep Cleanse Men’s Shampoo</v>
      </c>
      <c r="F102" t="str">
        <f ca="1">INDEX({"W101","W102","W103","W104"},RANDBETWEEN(1,4))</f>
        <v>W104</v>
      </c>
      <c r="G102">
        <v>165</v>
      </c>
      <c r="H102">
        <f>VLOOKUP(D102,Products!$A:$F,5,FALSE)</f>
        <v>349</v>
      </c>
      <c r="I102">
        <f t="shared" si="5"/>
        <v>57585</v>
      </c>
      <c r="J102" t="str">
        <f ca="1">INDEX({"Delivered","Delayed"},RANDBETWEEN(1,2))</f>
        <v>Delayed</v>
      </c>
    </row>
    <row r="103" spans="1:10" x14ac:dyDescent="0.25">
      <c r="A103" t="str">
        <f t="shared" ca="1" si="3"/>
        <v>FXI3YGIS</v>
      </c>
      <c r="B103" s="11">
        <v>45809</v>
      </c>
      <c r="C103" s="12" t="str">
        <f t="shared" si="4"/>
        <v>Jun</v>
      </c>
      <c r="D103" t="s">
        <v>15</v>
      </c>
      <c r="E103" t="str">
        <f>VLOOKUP(D103,Products!$A:$B,2,FALSE)</f>
        <v>Purely Activated Charcoal Deep Cleanse Men’s Shampoo</v>
      </c>
      <c r="F103" t="str">
        <f ca="1">INDEX({"W101","W102","W103","W104"},RANDBETWEEN(1,4))</f>
        <v>W101</v>
      </c>
      <c r="G103">
        <v>73</v>
      </c>
      <c r="H103">
        <f>VLOOKUP(D103,Products!$A:$F,5,FALSE)</f>
        <v>349</v>
      </c>
      <c r="I103">
        <f t="shared" si="5"/>
        <v>25477</v>
      </c>
      <c r="J103" t="str">
        <f ca="1">INDEX({"Delivered","Delayed"},RANDBETWEEN(1,2))</f>
        <v>Delivered</v>
      </c>
    </row>
    <row r="104" spans="1:10" x14ac:dyDescent="0.25">
      <c r="A104" t="str">
        <f t="shared" ca="1" si="3"/>
        <v>5S8N176L</v>
      </c>
      <c r="B104" s="11">
        <v>45658</v>
      </c>
      <c r="C104" s="12" t="str">
        <f t="shared" si="4"/>
        <v>Jan</v>
      </c>
      <c r="D104" t="s">
        <v>51</v>
      </c>
      <c r="E104" t="str">
        <f>VLOOKUP(D104,Products!$A:$B,2,FALSE)</f>
        <v>Purely Keto-Friendly Coconut Flour Cookies</v>
      </c>
      <c r="F104" t="str">
        <f ca="1">INDEX({"W101","W102","W103","W104"},RANDBETWEEN(1,4))</f>
        <v>W103</v>
      </c>
      <c r="G104">
        <v>95</v>
      </c>
      <c r="H104">
        <f>VLOOKUP(D104,Products!$A:$F,5,FALSE)</f>
        <v>220</v>
      </c>
      <c r="I104">
        <f t="shared" si="5"/>
        <v>20900</v>
      </c>
      <c r="J104" t="str">
        <f ca="1">INDEX({"Delivered","Delayed"},RANDBETWEEN(1,2))</f>
        <v>Delivered</v>
      </c>
    </row>
    <row r="105" spans="1:10" x14ac:dyDescent="0.25">
      <c r="A105" t="str">
        <f t="shared" ca="1" si="3"/>
        <v>GZZTIV3V</v>
      </c>
      <c r="B105" s="11">
        <v>45925</v>
      </c>
      <c r="C105" s="12" t="str">
        <f t="shared" si="4"/>
        <v>Sep</v>
      </c>
      <c r="D105" t="s">
        <v>53</v>
      </c>
      <c r="E105" t="str">
        <f>VLOOKUP(D105,Products!$A:$B,2,FALSE)</f>
        <v>Fresh Classic Salted Potato Chips (Party Pack)</v>
      </c>
      <c r="F105" t="str">
        <f ca="1">INDEX({"W101","W102","W103","W104"},RANDBETWEEN(1,4))</f>
        <v>W101</v>
      </c>
      <c r="G105">
        <v>126</v>
      </c>
      <c r="H105">
        <f>VLOOKUP(D105,Products!$A:$F,5,FALSE)</f>
        <v>50</v>
      </c>
      <c r="I105">
        <f t="shared" si="5"/>
        <v>6300</v>
      </c>
      <c r="J105" t="str">
        <f ca="1">INDEX({"Delivered","Delayed"},RANDBETWEEN(1,2))</f>
        <v>Delayed</v>
      </c>
    </row>
    <row r="106" spans="1:10" x14ac:dyDescent="0.25">
      <c r="A106" t="str">
        <f t="shared" ca="1" si="3"/>
        <v>UCXRJCWW</v>
      </c>
      <c r="B106" s="11">
        <v>45899</v>
      </c>
      <c r="C106" s="12" t="str">
        <f t="shared" si="4"/>
        <v>Aug</v>
      </c>
      <c r="D106" t="s">
        <v>51</v>
      </c>
      <c r="E106" t="str">
        <f>VLOOKUP(D106,Products!$A:$B,2,FALSE)</f>
        <v>Purely Keto-Friendly Coconut Flour Cookies</v>
      </c>
      <c r="F106" t="str">
        <f ca="1">INDEX({"W101","W102","W103","W104"},RANDBETWEEN(1,4))</f>
        <v>W102</v>
      </c>
      <c r="G106">
        <v>122</v>
      </c>
      <c r="H106">
        <f>VLOOKUP(D106,Products!$A:$F,5,FALSE)</f>
        <v>220</v>
      </c>
      <c r="I106">
        <f t="shared" si="5"/>
        <v>26840</v>
      </c>
      <c r="J106" t="str">
        <f ca="1">INDEX({"Delivered","Delayed"},RANDBETWEEN(1,2))</f>
        <v>Delivered</v>
      </c>
    </row>
    <row r="107" spans="1:10" x14ac:dyDescent="0.25">
      <c r="A107" t="str">
        <f t="shared" ca="1" si="3"/>
        <v>I3S7OJSG</v>
      </c>
      <c r="B107" s="11">
        <v>45658</v>
      </c>
      <c r="C107" s="12" t="str">
        <f t="shared" si="4"/>
        <v>Jan</v>
      </c>
      <c r="D107" t="s">
        <v>57</v>
      </c>
      <c r="E107" t="str">
        <f>VLOOKUP(D107,Products!$A:$B,2,FALSE)</f>
        <v>Fresh Crunchy Peri-Peri Corn Puffs</v>
      </c>
      <c r="F107" t="str">
        <f ca="1">INDEX({"W101","W102","W103","W104"},RANDBETWEEN(1,4))</f>
        <v>W103</v>
      </c>
      <c r="G107">
        <v>133</v>
      </c>
      <c r="H107">
        <f>VLOOKUP(D107,Products!$A:$F,5,FALSE)</f>
        <v>45</v>
      </c>
      <c r="I107">
        <f t="shared" si="5"/>
        <v>5985</v>
      </c>
      <c r="J107" t="str">
        <f ca="1">INDEX({"Delivered","Delayed"},RANDBETWEEN(1,2))</f>
        <v>Delivered</v>
      </c>
    </row>
    <row r="108" spans="1:10" x14ac:dyDescent="0.25">
      <c r="A108" t="str">
        <f t="shared" ca="1" si="3"/>
        <v>A2JZHJ00</v>
      </c>
      <c r="B108" s="11">
        <v>46017</v>
      </c>
      <c r="C108" s="12" t="str">
        <f t="shared" si="4"/>
        <v>Dec</v>
      </c>
      <c r="D108" t="s">
        <v>51</v>
      </c>
      <c r="E108" t="str">
        <f>VLOOKUP(D108,Products!$A:$B,2,FALSE)</f>
        <v>Purely Keto-Friendly Coconut Flour Cookies</v>
      </c>
      <c r="F108" t="str">
        <f ca="1">INDEX({"W101","W102","W103","W104"},RANDBETWEEN(1,4))</f>
        <v>W104</v>
      </c>
      <c r="G108">
        <v>107</v>
      </c>
      <c r="H108">
        <f>VLOOKUP(D108,Products!$A:$F,5,FALSE)</f>
        <v>220</v>
      </c>
      <c r="I108">
        <f t="shared" si="5"/>
        <v>23540</v>
      </c>
      <c r="J108" t="str">
        <f ca="1">INDEX({"Delivered","Delayed"},RANDBETWEEN(1,2))</f>
        <v>Delayed</v>
      </c>
    </row>
    <row r="109" spans="1:10" x14ac:dyDescent="0.25">
      <c r="A109" t="str">
        <f t="shared" ca="1" si="3"/>
        <v>BWM7K2MM</v>
      </c>
      <c r="B109" s="11">
        <v>45848</v>
      </c>
      <c r="C109" s="12" t="str">
        <f t="shared" si="4"/>
        <v>Jul</v>
      </c>
      <c r="D109" t="s">
        <v>57</v>
      </c>
      <c r="E109" t="str">
        <f>VLOOKUP(D109,Products!$A:$B,2,FALSE)</f>
        <v>Fresh Crunchy Peri-Peri Corn Puffs</v>
      </c>
      <c r="F109" t="str">
        <f ca="1">INDEX({"W101","W102","W103","W104"},RANDBETWEEN(1,4))</f>
        <v>W104</v>
      </c>
      <c r="G109">
        <v>184</v>
      </c>
      <c r="H109">
        <f>VLOOKUP(D109,Products!$A:$F,5,FALSE)</f>
        <v>45</v>
      </c>
      <c r="I109">
        <f t="shared" si="5"/>
        <v>8280</v>
      </c>
      <c r="J109" t="str">
        <f ca="1">INDEX({"Delivered","Delayed"},RANDBETWEEN(1,2))</f>
        <v>Delayed</v>
      </c>
    </row>
    <row r="110" spans="1:10" x14ac:dyDescent="0.25">
      <c r="A110" t="str">
        <f t="shared" ca="1" si="3"/>
        <v>OQ0T3FE7</v>
      </c>
      <c r="B110" s="11">
        <v>45714</v>
      </c>
      <c r="C110" s="12" t="str">
        <f t="shared" si="4"/>
        <v>Feb</v>
      </c>
      <c r="D110" t="s">
        <v>55</v>
      </c>
      <c r="E110" t="str">
        <f>VLOOKUP(D110,Products!$A:$B,2,FALSE)</f>
        <v>Fresh Tangy Tomato Masala Potato Chips</v>
      </c>
      <c r="F110" t="str">
        <f ca="1">INDEX({"W101","W102","W103","W104"},RANDBETWEEN(1,4))</f>
        <v>W103</v>
      </c>
      <c r="G110">
        <v>115</v>
      </c>
      <c r="H110">
        <f>VLOOKUP(D110,Products!$A:$F,5,FALSE)</f>
        <v>30</v>
      </c>
      <c r="I110">
        <f t="shared" si="5"/>
        <v>3450</v>
      </c>
      <c r="J110" t="str">
        <f ca="1">INDEX({"Delivered","Delayed"},RANDBETWEEN(1,2))</f>
        <v>Delayed</v>
      </c>
    </row>
    <row r="111" spans="1:10" x14ac:dyDescent="0.25">
      <c r="A111" t="str">
        <f t="shared" ca="1" si="3"/>
        <v>864LXZUI</v>
      </c>
      <c r="B111" s="11">
        <v>45788</v>
      </c>
      <c r="C111" s="12" t="str">
        <f t="shared" si="4"/>
        <v>May</v>
      </c>
      <c r="D111" t="s">
        <v>57</v>
      </c>
      <c r="E111" t="str">
        <f>VLOOKUP(D111,Products!$A:$B,2,FALSE)</f>
        <v>Fresh Crunchy Peri-Peri Corn Puffs</v>
      </c>
      <c r="F111" t="str">
        <f ca="1">INDEX({"W101","W102","W103","W104"},RANDBETWEEN(1,4))</f>
        <v>W101</v>
      </c>
      <c r="G111">
        <v>187</v>
      </c>
      <c r="H111">
        <f>VLOOKUP(D111,Products!$A:$F,5,FALSE)</f>
        <v>45</v>
      </c>
      <c r="I111">
        <f t="shared" si="5"/>
        <v>8415</v>
      </c>
      <c r="J111" t="str">
        <f ca="1">INDEX({"Delivered","Delayed"},RANDBETWEEN(1,2))</f>
        <v>Delayed</v>
      </c>
    </row>
    <row r="112" spans="1:10" x14ac:dyDescent="0.25">
      <c r="A112" t="str">
        <f t="shared" ca="1" si="3"/>
        <v>WPZHIJ36</v>
      </c>
      <c r="B112" s="11">
        <v>45675</v>
      </c>
      <c r="C112" s="12" t="str">
        <f t="shared" si="4"/>
        <v>Jan</v>
      </c>
      <c r="D112" t="s">
        <v>57</v>
      </c>
      <c r="E112" t="str">
        <f>VLOOKUP(D112,Products!$A:$B,2,FALSE)</f>
        <v>Fresh Crunchy Peri-Peri Corn Puffs</v>
      </c>
      <c r="F112" t="str">
        <f ca="1">INDEX({"W101","W102","W103","W104"},RANDBETWEEN(1,4))</f>
        <v>W102</v>
      </c>
      <c r="G112">
        <v>152</v>
      </c>
      <c r="H112">
        <f>VLOOKUP(D112,Products!$A:$F,5,FALSE)</f>
        <v>45</v>
      </c>
      <c r="I112">
        <f t="shared" si="5"/>
        <v>6840</v>
      </c>
      <c r="J112" t="str">
        <f ca="1">INDEX({"Delivered","Delayed"},RANDBETWEEN(1,2))</f>
        <v>Delayed</v>
      </c>
    </row>
    <row r="113" spans="1:10" x14ac:dyDescent="0.25">
      <c r="A113" t="str">
        <f t="shared" ca="1" si="3"/>
        <v>0O000NM9</v>
      </c>
      <c r="B113" s="11">
        <v>45922</v>
      </c>
      <c r="C113" s="12" t="str">
        <f t="shared" si="4"/>
        <v>Sep</v>
      </c>
      <c r="D113" t="s">
        <v>57</v>
      </c>
      <c r="E113" t="str">
        <f>VLOOKUP(D113,Products!$A:$B,2,FALSE)</f>
        <v>Fresh Crunchy Peri-Peri Corn Puffs</v>
      </c>
      <c r="F113" t="str">
        <f ca="1">INDEX({"W101","W102","W103","W104"},RANDBETWEEN(1,4))</f>
        <v>W102</v>
      </c>
      <c r="G113">
        <v>170</v>
      </c>
      <c r="H113">
        <f>VLOOKUP(D113,Products!$A:$F,5,FALSE)</f>
        <v>45</v>
      </c>
      <c r="I113">
        <f t="shared" si="5"/>
        <v>7650</v>
      </c>
      <c r="J113" t="str">
        <f ca="1">INDEX({"Delivered","Delayed"},RANDBETWEEN(1,2))</f>
        <v>Delayed</v>
      </c>
    </row>
    <row r="114" spans="1:10" x14ac:dyDescent="0.25">
      <c r="A114" t="str">
        <f t="shared" ca="1" si="3"/>
        <v>9QDFH54E</v>
      </c>
      <c r="B114" s="11">
        <v>45759</v>
      </c>
      <c r="C114" s="12" t="str">
        <f t="shared" si="4"/>
        <v>Apr</v>
      </c>
      <c r="D114" t="s">
        <v>4</v>
      </c>
      <c r="E114" t="str">
        <f>VLOOKUP(D114,Products!$A:$B,2,FALSE)</f>
        <v>Fresh Anti-Dandruff Cool Mint Shampoo</v>
      </c>
      <c r="F114" t="str">
        <f ca="1">INDEX({"W101","W102","W103","W104"},RANDBETWEEN(1,4))</f>
        <v>W103</v>
      </c>
      <c r="G114">
        <v>170</v>
      </c>
      <c r="H114">
        <f>VLOOKUP(D114,Products!$A:$F,5,FALSE)</f>
        <v>199</v>
      </c>
      <c r="I114">
        <f t="shared" si="5"/>
        <v>33830</v>
      </c>
      <c r="J114" t="str">
        <f ca="1">INDEX({"Delivered","Delayed"},RANDBETWEEN(1,2))</f>
        <v>Delayed</v>
      </c>
    </row>
    <row r="115" spans="1:10" x14ac:dyDescent="0.25">
      <c r="A115" t="str">
        <f t="shared" ca="1" si="3"/>
        <v>GFWR5579</v>
      </c>
      <c r="B115" s="11">
        <v>45916</v>
      </c>
      <c r="C115" s="12" t="str">
        <f t="shared" si="4"/>
        <v>Sep</v>
      </c>
      <c r="D115" t="s">
        <v>7</v>
      </c>
      <c r="E115" t="str">
        <f>VLOOKUP(D115,Products!$A:$B,2,FALSE)</f>
        <v>Fresh Smooth &amp; Shiny Daily Silky Shampoo</v>
      </c>
      <c r="F115" t="str">
        <f ca="1">INDEX({"W101","W102","W103","W104"},RANDBETWEEN(1,4))</f>
        <v>W101</v>
      </c>
      <c r="G115">
        <v>52</v>
      </c>
      <c r="H115">
        <f>VLOOKUP(D115,Products!$A:$F,5,FALSE)</f>
        <v>185</v>
      </c>
      <c r="I115">
        <f t="shared" si="5"/>
        <v>9620</v>
      </c>
      <c r="J115" t="str">
        <f ca="1">INDEX({"Delivered","Delayed"},RANDBETWEEN(1,2))</f>
        <v>Delivered</v>
      </c>
    </row>
    <row r="116" spans="1:10" x14ac:dyDescent="0.25">
      <c r="A116" t="str">
        <f t="shared" ca="1" si="3"/>
        <v>2846ATT5</v>
      </c>
      <c r="B116" s="11">
        <v>45963</v>
      </c>
      <c r="C116" s="12" t="str">
        <f t="shared" si="4"/>
        <v>Nov</v>
      </c>
      <c r="D116" t="s">
        <v>9</v>
      </c>
      <c r="E116" t="str">
        <f>VLOOKUP(D116,Products!$A:$B,2,FALSE)</f>
        <v>Fresh 2-in-1 Shampoo + Conditioner for Kids (Mango Flavor)</v>
      </c>
      <c r="F116" t="str">
        <f ca="1">INDEX({"W101","W102","W103","W104"},RANDBETWEEN(1,4))</f>
        <v>W101</v>
      </c>
      <c r="G116">
        <v>149</v>
      </c>
      <c r="H116">
        <f>VLOOKUP(D116,Products!$A:$F,5,FALSE)</f>
        <v>225</v>
      </c>
      <c r="I116">
        <f t="shared" si="5"/>
        <v>33525</v>
      </c>
      <c r="J116" t="str">
        <f ca="1">INDEX({"Delivered","Delayed"},RANDBETWEEN(1,2))</f>
        <v>Delivered</v>
      </c>
    </row>
    <row r="117" spans="1:10" x14ac:dyDescent="0.25">
      <c r="A117" t="str">
        <f t="shared" ca="1" si="3"/>
        <v>2Y3S0613</v>
      </c>
      <c r="B117" s="11">
        <v>45954</v>
      </c>
      <c r="C117" s="12" t="str">
        <f t="shared" si="4"/>
        <v>Oct</v>
      </c>
      <c r="D117" t="s">
        <v>11</v>
      </c>
      <c r="E117" t="str">
        <f>VLOOKUP(D117,Products!$A:$B,2,FALSE)</f>
        <v>Purely Apple Cider Vinegar Hair Therapy Shampoo</v>
      </c>
      <c r="F117" t="str">
        <f ca="1">INDEX({"W101","W102","W103","W104"},RANDBETWEEN(1,4))</f>
        <v>W104</v>
      </c>
      <c r="G117">
        <v>142</v>
      </c>
      <c r="H117">
        <f>VLOOKUP(D117,Products!$A:$F,5,FALSE)</f>
        <v>399</v>
      </c>
      <c r="I117">
        <f t="shared" si="5"/>
        <v>56658</v>
      </c>
      <c r="J117" t="str">
        <f ca="1">INDEX({"Delivered","Delayed"},RANDBETWEEN(1,2))</f>
        <v>Delivered</v>
      </c>
    </row>
    <row r="118" spans="1:10" x14ac:dyDescent="0.25">
      <c r="A118" t="str">
        <f t="shared" ca="1" si="3"/>
        <v>3TO2IBUE</v>
      </c>
      <c r="B118" s="11">
        <v>45871</v>
      </c>
      <c r="C118" s="12" t="str">
        <f t="shared" si="4"/>
        <v>Aug</v>
      </c>
      <c r="D118" t="s">
        <v>7</v>
      </c>
      <c r="E118" t="str">
        <f>VLOOKUP(D118,Products!$A:$B,2,FALSE)</f>
        <v>Fresh Smooth &amp; Shiny Daily Silky Shampoo</v>
      </c>
      <c r="F118" t="str">
        <f ca="1">INDEX({"W101","W102","W103","W104"},RANDBETWEEN(1,4))</f>
        <v>W103</v>
      </c>
      <c r="G118">
        <v>177</v>
      </c>
      <c r="H118">
        <f>VLOOKUP(D118,Products!$A:$F,5,FALSE)</f>
        <v>185</v>
      </c>
      <c r="I118">
        <f t="shared" si="5"/>
        <v>32745</v>
      </c>
      <c r="J118" t="str">
        <f ca="1">INDEX({"Delivered","Delayed"},RANDBETWEEN(1,2))</f>
        <v>Delivered</v>
      </c>
    </row>
    <row r="119" spans="1:10" x14ac:dyDescent="0.25">
      <c r="A119" t="str">
        <f t="shared" ca="1" si="3"/>
        <v>IBQBZFHB</v>
      </c>
      <c r="B119" s="11">
        <v>45741</v>
      </c>
      <c r="C119" s="12" t="str">
        <f t="shared" si="4"/>
        <v>Mar</v>
      </c>
      <c r="D119" t="s">
        <v>15</v>
      </c>
      <c r="E119" t="str">
        <f>VLOOKUP(D119,Products!$A:$B,2,FALSE)</f>
        <v>Purely Activated Charcoal Deep Cleanse Men’s Shampoo</v>
      </c>
      <c r="F119" t="str">
        <f ca="1">INDEX({"W101","W102","W103","W104"},RANDBETWEEN(1,4))</f>
        <v>W101</v>
      </c>
      <c r="G119">
        <v>72</v>
      </c>
      <c r="H119">
        <f>VLOOKUP(D119,Products!$A:$F,5,FALSE)</f>
        <v>349</v>
      </c>
      <c r="I119">
        <f t="shared" si="5"/>
        <v>25128</v>
      </c>
      <c r="J119" t="str">
        <f ca="1">INDEX({"Delivered","Delayed"},RANDBETWEEN(1,2))</f>
        <v>Delayed</v>
      </c>
    </row>
    <row r="120" spans="1:10" x14ac:dyDescent="0.25">
      <c r="A120" t="str">
        <f t="shared" ca="1" si="3"/>
        <v>4YS3PNY4</v>
      </c>
      <c r="B120" s="11">
        <v>45732</v>
      </c>
      <c r="C120" s="12" t="str">
        <f t="shared" si="4"/>
        <v>Mar</v>
      </c>
      <c r="D120" t="s">
        <v>17</v>
      </c>
      <c r="E120" t="str">
        <f>VLOOKUP(D120,Products!$A:$B,2,FALSE)</f>
        <v>Purely Fragrance-Free Ultra-Mild Sensitive Scalp Shampoo</v>
      </c>
      <c r="F120" t="str">
        <f ca="1">INDEX({"W101","W102","W103","W104"},RANDBETWEEN(1,4))</f>
        <v>W102</v>
      </c>
      <c r="G120">
        <v>134</v>
      </c>
      <c r="H120">
        <f>VLOOKUP(D120,Products!$A:$F,5,FALSE)</f>
        <v>375</v>
      </c>
      <c r="I120">
        <f t="shared" si="5"/>
        <v>50250</v>
      </c>
      <c r="J120" t="str">
        <f ca="1">INDEX({"Delivered","Delayed"},RANDBETWEEN(1,2))</f>
        <v>Delayed</v>
      </c>
    </row>
    <row r="121" spans="1:10" x14ac:dyDescent="0.25">
      <c r="A121" t="str">
        <f t="shared" ca="1" si="3"/>
        <v>IXS6GUGD</v>
      </c>
      <c r="B121" s="11">
        <v>45944</v>
      </c>
      <c r="C121" s="12" t="str">
        <f t="shared" si="4"/>
        <v>Oct</v>
      </c>
      <c r="D121" t="s">
        <v>19</v>
      </c>
      <c r="E121" t="str">
        <f>VLOOKUP(D121,Products!$A:$B,2,FALSE)</f>
        <v>Fresh Vitamin E &amp; Aloe Vera Moisturizing Bar</v>
      </c>
      <c r="F121" t="str">
        <f ca="1">INDEX({"W101","W102","W103","W104"},RANDBETWEEN(1,4))</f>
        <v>W101</v>
      </c>
      <c r="G121">
        <v>78</v>
      </c>
      <c r="H121">
        <f>VLOOKUP(D121,Products!$A:$F,5,FALSE)</f>
        <v>45</v>
      </c>
      <c r="I121">
        <f t="shared" si="5"/>
        <v>3510</v>
      </c>
      <c r="J121" t="str">
        <f ca="1">INDEX({"Delivered","Delayed"},RANDBETWEEN(1,2))</f>
        <v>Delayed</v>
      </c>
    </row>
    <row r="122" spans="1:10" x14ac:dyDescent="0.25">
      <c r="A122" t="str">
        <f t="shared" ca="1" si="3"/>
        <v>VPP5MFEX</v>
      </c>
      <c r="B122" s="11">
        <v>45895</v>
      </c>
      <c r="C122" s="12" t="str">
        <f t="shared" si="4"/>
        <v>Aug</v>
      </c>
      <c r="D122" t="s">
        <v>7</v>
      </c>
      <c r="E122" t="str">
        <f>VLOOKUP(D122,Products!$A:$B,2,FALSE)</f>
        <v>Fresh Smooth &amp; Shiny Daily Silky Shampoo</v>
      </c>
      <c r="F122" t="str">
        <f ca="1">INDEX({"W101","W102","W103","W104"},RANDBETWEEN(1,4))</f>
        <v>W101</v>
      </c>
      <c r="G122">
        <v>194</v>
      </c>
      <c r="H122">
        <f>VLOOKUP(D122,Products!$A:$F,5,FALSE)</f>
        <v>185</v>
      </c>
      <c r="I122">
        <f t="shared" si="5"/>
        <v>35890</v>
      </c>
      <c r="J122" t="str">
        <f ca="1">INDEX({"Delivered","Delayed"},RANDBETWEEN(1,2))</f>
        <v>Delayed</v>
      </c>
    </row>
    <row r="123" spans="1:10" x14ac:dyDescent="0.25">
      <c r="A123" t="str">
        <f t="shared" ca="1" si="3"/>
        <v>CVKLEY9A</v>
      </c>
      <c r="B123" s="11">
        <v>45719</v>
      </c>
      <c r="C123" s="12" t="str">
        <f t="shared" si="4"/>
        <v>Mar</v>
      </c>
      <c r="D123" t="s">
        <v>23</v>
      </c>
      <c r="E123" t="str">
        <f>VLOOKUP(D123,Products!$A:$B,2,FALSE)</f>
        <v>Fresh Rose Petal Cream Bathing Bar</v>
      </c>
      <c r="F123" t="str">
        <f ca="1">INDEX({"W101","W102","W103","W104"},RANDBETWEEN(1,4))</f>
        <v>W102</v>
      </c>
      <c r="G123">
        <v>143</v>
      </c>
      <c r="H123">
        <f>VLOOKUP(D123,Products!$A:$F,5,FALSE)</f>
        <v>45</v>
      </c>
      <c r="I123">
        <f t="shared" si="5"/>
        <v>6435</v>
      </c>
      <c r="J123" t="str">
        <f ca="1">INDEX({"Delivered","Delayed"},RANDBETWEEN(1,2))</f>
        <v>Delivered</v>
      </c>
    </row>
    <row r="124" spans="1:10" x14ac:dyDescent="0.25">
      <c r="A124" t="str">
        <f t="shared" ca="1" si="3"/>
        <v>FWLSVG87</v>
      </c>
      <c r="B124" s="11">
        <v>45917</v>
      </c>
      <c r="C124" s="12" t="str">
        <f t="shared" si="4"/>
        <v>Sep</v>
      </c>
      <c r="D124" t="s">
        <v>25</v>
      </c>
      <c r="E124" t="str">
        <f>VLOOKUP(D124,Products!$A:$B,2,FALSE)</f>
        <v>Purely Handcrafted Oatmeal &amp; Honey Exfoliating Scrub Soap</v>
      </c>
      <c r="F124" t="str">
        <f ca="1">INDEX({"W101","W102","W103","W104"},RANDBETWEEN(1,4))</f>
        <v>W103</v>
      </c>
      <c r="G124">
        <v>165</v>
      </c>
      <c r="H124">
        <f>VLOOKUP(D124,Products!$A:$F,5,FALSE)</f>
        <v>125</v>
      </c>
      <c r="I124">
        <f t="shared" si="5"/>
        <v>20625</v>
      </c>
      <c r="J124" t="str">
        <f ca="1">INDEX({"Delivered","Delayed"},RANDBETWEEN(1,2))</f>
        <v>Delayed</v>
      </c>
    </row>
    <row r="125" spans="1:10" x14ac:dyDescent="0.25">
      <c r="A125" t="str">
        <f t="shared" ca="1" si="3"/>
        <v>J9MGCLKQ</v>
      </c>
      <c r="B125" s="11">
        <v>46017</v>
      </c>
      <c r="C125" s="12" t="str">
        <f t="shared" si="4"/>
        <v>Dec</v>
      </c>
      <c r="D125" t="s">
        <v>27</v>
      </c>
      <c r="E125" t="str">
        <f>VLOOKUP(D125,Products!$A:$B,2,FALSE)</f>
        <v>Purely Tea Tree &amp; Salicylic Acid Acne-Control Bar</v>
      </c>
      <c r="F125" t="str">
        <f ca="1">INDEX({"W101","W102","W103","W104"},RANDBETWEEN(1,4))</f>
        <v>W103</v>
      </c>
      <c r="G125">
        <v>48</v>
      </c>
      <c r="H125">
        <f>VLOOKUP(D125,Products!$A:$F,5,FALSE)</f>
        <v>140</v>
      </c>
      <c r="I125">
        <f t="shared" si="5"/>
        <v>6720</v>
      </c>
      <c r="J125" t="str">
        <f ca="1">INDEX({"Delivered","Delayed"},RANDBETWEEN(1,2))</f>
        <v>Delayed</v>
      </c>
    </row>
    <row r="126" spans="1:10" x14ac:dyDescent="0.25">
      <c r="A126" t="str">
        <f t="shared" ca="1" si="3"/>
        <v>R9IL75UR</v>
      </c>
      <c r="B126" s="11">
        <v>45875</v>
      </c>
      <c r="C126" s="12" t="str">
        <f t="shared" si="4"/>
        <v>Aug</v>
      </c>
      <c r="D126" t="s">
        <v>7</v>
      </c>
      <c r="E126" t="str">
        <f>VLOOKUP(D126,Products!$A:$B,2,FALSE)</f>
        <v>Fresh Smooth &amp; Shiny Daily Silky Shampoo</v>
      </c>
      <c r="F126" t="str">
        <f ca="1">INDEX({"W101","W102","W103","W104"},RANDBETWEEN(1,4))</f>
        <v>W102</v>
      </c>
      <c r="G126">
        <v>166</v>
      </c>
      <c r="H126">
        <f>VLOOKUP(D126,Products!$A:$F,5,FALSE)</f>
        <v>185</v>
      </c>
      <c r="I126">
        <f t="shared" si="5"/>
        <v>30710</v>
      </c>
      <c r="J126" t="str">
        <f ca="1">INDEX({"Delivered","Delayed"},RANDBETWEEN(1,2))</f>
        <v>Delivered</v>
      </c>
    </row>
    <row r="127" spans="1:10" x14ac:dyDescent="0.25">
      <c r="A127" t="str">
        <f t="shared" ca="1" si="3"/>
        <v>S6S5BL8C</v>
      </c>
      <c r="B127" s="11">
        <v>45884</v>
      </c>
      <c r="C127" s="12" t="str">
        <f t="shared" si="4"/>
        <v>Aug</v>
      </c>
      <c r="D127" t="s">
        <v>32</v>
      </c>
      <c r="E127" t="str">
        <f>VLOOKUP(D127,Products!$A:$B,2,FALSE)</f>
        <v>Fresh Lavender Fields Liquid Detergent (Front &amp; Top Load)</v>
      </c>
      <c r="F127" t="str">
        <f ca="1">INDEX({"W101","W102","W103","W104"},RANDBETWEEN(1,4))</f>
        <v>W102</v>
      </c>
      <c r="G127">
        <v>83</v>
      </c>
      <c r="H127">
        <f>VLOOKUP(D127,Products!$A:$F,5,FALSE)</f>
        <v>249</v>
      </c>
      <c r="I127">
        <f t="shared" si="5"/>
        <v>20667</v>
      </c>
      <c r="J127" t="str">
        <f ca="1">INDEX({"Delivered","Delayed"},RANDBETWEEN(1,2))</f>
        <v>Delivered</v>
      </c>
    </row>
    <row r="128" spans="1:10" x14ac:dyDescent="0.25">
      <c r="A128" t="str">
        <f t="shared" ca="1" si="3"/>
        <v>P7KMVV9G</v>
      </c>
      <c r="B128" s="11">
        <v>45887</v>
      </c>
      <c r="C128" s="12" t="str">
        <f t="shared" si="4"/>
        <v>Aug</v>
      </c>
      <c r="D128" t="s">
        <v>34</v>
      </c>
      <c r="E128" t="str">
        <f>VLOOKUP(D128,Products!$A:$B,2,FALSE)</f>
        <v>Fresh Fabric Conditioner &amp; Softener (Morning Dew)</v>
      </c>
      <c r="F128" t="str">
        <f ca="1">INDEX({"W101","W102","W103","W104"},RANDBETWEEN(1,4))</f>
        <v>W104</v>
      </c>
      <c r="G128">
        <v>136</v>
      </c>
      <c r="H128">
        <f>VLOOKUP(D128,Products!$A:$F,5,FALSE)</f>
        <v>180</v>
      </c>
      <c r="I128">
        <f t="shared" si="5"/>
        <v>24480</v>
      </c>
      <c r="J128" t="str">
        <f ca="1">INDEX({"Delivered","Delayed"},RANDBETWEEN(1,2))</f>
        <v>Delivered</v>
      </c>
    </row>
    <row r="129" spans="1:10" x14ac:dyDescent="0.25">
      <c r="A129" t="str">
        <f t="shared" ca="1" si="3"/>
        <v>49RUEEH5</v>
      </c>
      <c r="B129" s="11">
        <v>45845</v>
      </c>
      <c r="C129" s="12" t="str">
        <f t="shared" si="4"/>
        <v>Jul</v>
      </c>
      <c r="D129" t="s">
        <v>7</v>
      </c>
      <c r="E129" t="str">
        <f>VLOOKUP(D129,Products!$A:$B,2,FALSE)</f>
        <v>Fresh Smooth &amp; Shiny Daily Silky Shampoo</v>
      </c>
      <c r="F129" t="str">
        <f ca="1">INDEX({"W101","W102","W103","W104"},RANDBETWEEN(1,4))</f>
        <v>W103</v>
      </c>
      <c r="G129">
        <v>104</v>
      </c>
      <c r="H129">
        <f>VLOOKUP(D129,Products!$A:$F,5,FALSE)</f>
        <v>185</v>
      </c>
      <c r="I129">
        <f t="shared" si="5"/>
        <v>19240</v>
      </c>
      <c r="J129" t="str">
        <f ca="1">INDEX({"Delivered","Delayed"},RANDBETWEEN(1,2))</f>
        <v>Delivered</v>
      </c>
    </row>
    <row r="130" spans="1:10" x14ac:dyDescent="0.25">
      <c r="A130" t="str">
        <f t="shared" ref="A130:A193" ca="1" si="6">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</f>
        <v>0IWN1EWE</v>
      </c>
      <c r="B130" s="11">
        <v>45811</v>
      </c>
      <c r="C130" s="12" t="str">
        <f t="shared" ref="C130:C193" si="7">TEXT(B130,"mmm")</f>
        <v>Jun</v>
      </c>
      <c r="D130" t="s">
        <v>38</v>
      </c>
      <c r="E130" t="str">
        <f>VLOOKUP(D130,Products!$A:$B,2,FALSE)</f>
        <v>Purely Eucalyptus Eco-Friendly Detergent Sheets</v>
      </c>
      <c r="F130" t="str">
        <f ca="1">INDEX({"W101","W102","W103","W104"},RANDBETWEEN(1,4))</f>
        <v>W103</v>
      </c>
      <c r="G130">
        <v>199</v>
      </c>
      <c r="H130">
        <f>VLOOKUP(D130,Products!$A:$F,5,FALSE)</f>
        <v>399</v>
      </c>
      <c r="I130">
        <f t="shared" ref="I130:I193" si="8">H130*G130</f>
        <v>79401</v>
      </c>
      <c r="J130" t="str">
        <f ca="1">INDEX({"Delivered","Delayed"},RANDBETWEEN(1,2))</f>
        <v>Delayed</v>
      </c>
    </row>
    <row r="131" spans="1:10" x14ac:dyDescent="0.25">
      <c r="A131" t="str">
        <f t="shared" ca="1" si="6"/>
        <v>EYM5NBWM</v>
      </c>
      <c r="B131" s="11">
        <v>45740</v>
      </c>
      <c r="C131" s="12" t="str">
        <f t="shared" si="7"/>
        <v>Mar</v>
      </c>
      <c r="D131" t="s">
        <v>40</v>
      </c>
      <c r="E131" t="str">
        <f>VLOOKUP(D131,Products!$A:$B,2,FALSE)</f>
        <v>Purely Bio-Enzyme Liquid Detergent for Delicate Fabrics (Silk/Wool)</v>
      </c>
      <c r="F131" t="str">
        <f ca="1">INDEX({"W101","W102","W103","W104"},RANDBETWEEN(1,4))</f>
        <v>W101</v>
      </c>
      <c r="G131">
        <v>119</v>
      </c>
      <c r="H131">
        <f>VLOOKUP(D131,Products!$A:$F,5,FALSE)</f>
        <v>499</v>
      </c>
      <c r="I131">
        <f t="shared" si="8"/>
        <v>59381</v>
      </c>
      <c r="J131" t="str">
        <f ca="1">INDEX({"Delivered","Delayed"},RANDBETWEEN(1,2))</f>
        <v>Delivered</v>
      </c>
    </row>
    <row r="132" spans="1:10" x14ac:dyDescent="0.25">
      <c r="A132" t="str">
        <f t="shared" ca="1" si="6"/>
        <v>HLB1TAKO</v>
      </c>
      <c r="B132" s="11">
        <v>45818</v>
      </c>
      <c r="C132" s="12" t="str">
        <f t="shared" si="7"/>
        <v>Jun</v>
      </c>
      <c r="D132" t="s">
        <v>7</v>
      </c>
      <c r="E132" t="str">
        <f>VLOOKUP(D132,Products!$A:$B,2,FALSE)</f>
        <v>Fresh Smooth &amp; Shiny Daily Silky Shampoo</v>
      </c>
      <c r="F132" t="str">
        <f ca="1">INDEX({"W101","W102","W103","W104"},RANDBETWEEN(1,4))</f>
        <v>W101</v>
      </c>
      <c r="G132">
        <v>103</v>
      </c>
      <c r="H132">
        <f>VLOOKUP(D132,Products!$A:$F,5,FALSE)</f>
        <v>185</v>
      </c>
      <c r="I132">
        <f t="shared" si="8"/>
        <v>19055</v>
      </c>
      <c r="J132" t="str">
        <f ca="1">INDEX({"Delivered","Delayed"},RANDBETWEEN(1,2))</f>
        <v>Delivered</v>
      </c>
    </row>
    <row r="133" spans="1:10" x14ac:dyDescent="0.25">
      <c r="A133" t="str">
        <f t="shared" ca="1" si="6"/>
        <v>SDR45O1S</v>
      </c>
      <c r="B133" s="11">
        <v>45933</v>
      </c>
      <c r="C133" s="12" t="str">
        <f t="shared" si="7"/>
        <v>Oct</v>
      </c>
      <c r="D133" t="s">
        <v>45</v>
      </c>
      <c r="E133" t="str">
        <f>VLOOKUP(D133,Products!$A:$B,2,FALSE)</f>
        <v>Fresh Crunchy Choco-Chip Cookies</v>
      </c>
      <c r="F133" t="str">
        <f ca="1">INDEX({"W101","W102","W103","W104"},RANDBETWEEN(1,4))</f>
        <v>W104</v>
      </c>
      <c r="G133">
        <v>104</v>
      </c>
      <c r="H133">
        <f>VLOOKUP(D133,Products!$A:$F,5,FALSE)</f>
        <v>60</v>
      </c>
      <c r="I133">
        <f t="shared" si="8"/>
        <v>6240</v>
      </c>
      <c r="J133" t="str">
        <f ca="1">INDEX({"Delivered","Delayed"},RANDBETWEEN(1,2))</f>
        <v>Delayed</v>
      </c>
    </row>
    <row r="134" spans="1:10" x14ac:dyDescent="0.25">
      <c r="A134" t="str">
        <f t="shared" ca="1" si="6"/>
        <v>QUEMEG3P</v>
      </c>
      <c r="B134" s="11">
        <v>45684</v>
      </c>
      <c r="C134" s="12" t="str">
        <f t="shared" si="7"/>
        <v>Jan</v>
      </c>
      <c r="D134" t="s">
        <v>47</v>
      </c>
      <c r="E134" t="str">
        <f>VLOOKUP(D134,Products!$A:$B,2,FALSE)</f>
        <v>Purely 100% Whole Wheat Digestives (Zero Sugar added)</v>
      </c>
      <c r="F134" t="str">
        <f ca="1">INDEX({"W101","W102","W103","W104"},RANDBETWEEN(1,4))</f>
        <v>W103</v>
      </c>
      <c r="G134">
        <v>156</v>
      </c>
      <c r="H134">
        <f>VLOOKUP(D134,Products!$A:$F,5,FALSE)</f>
        <v>120</v>
      </c>
      <c r="I134">
        <f t="shared" si="8"/>
        <v>18720</v>
      </c>
      <c r="J134" t="str">
        <f ca="1">INDEX({"Delivered","Delayed"},RANDBETWEEN(1,2))</f>
        <v>Delayed</v>
      </c>
    </row>
    <row r="135" spans="1:10" x14ac:dyDescent="0.25">
      <c r="A135" t="str">
        <f t="shared" ca="1" si="6"/>
        <v>CX641DZ5</v>
      </c>
      <c r="B135" s="11">
        <v>45834</v>
      </c>
      <c r="C135" s="12" t="str">
        <f t="shared" si="7"/>
        <v>Jun</v>
      </c>
      <c r="D135" t="s">
        <v>49</v>
      </c>
      <c r="E135" t="str">
        <f>VLOOKUP(D135,Products!$A:$B,2,FALSE)</f>
        <v>Purely Almond &amp; Chia Seed Millet Oats Biscuits</v>
      </c>
      <c r="F135" t="str">
        <f ca="1">INDEX({"W101","W102","W103","W104"},RANDBETWEEN(1,4))</f>
        <v>W101</v>
      </c>
      <c r="G135">
        <v>127</v>
      </c>
      <c r="H135">
        <f>VLOOKUP(D135,Products!$A:$F,5,FALSE)</f>
        <v>149</v>
      </c>
      <c r="I135">
        <f t="shared" si="8"/>
        <v>18923</v>
      </c>
      <c r="J135" t="str">
        <f ca="1">INDEX({"Delivered","Delayed"},RANDBETWEEN(1,2))</f>
        <v>Delivered</v>
      </c>
    </row>
    <row r="136" spans="1:10" x14ac:dyDescent="0.25">
      <c r="A136" t="str">
        <f t="shared" ca="1" si="6"/>
        <v>SPEQLDPP</v>
      </c>
      <c r="B136" s="11">
        <v>45874</v>
      </c>
      <c r="C136" s="12" t="str">
        <f t="shared" si="7"/>
        <v>Aug</v>
      </c>
      <c r="D136" t="s">
        <v>4</v>
      </c>
      <c r="E136" t="str">
        <f>VLOOKUP(D136,Products!$A:$B,2,FALSE)</f>
        <v>Fresh Anti-Dandruff Cool Mint Shampoo</v>
      </c>
      <c r="F136" t="str">
        <f ca="1">INDEX({"W101","W102","W103","W104"},RANDBETWEEN(1,4))</f>
        <v>W104</v>
      </c>
      <c r="G136">
        <v>143</v>
      </c>
      <c r="H136">
        <f>VLOOKUP(D136,Products!$A:$F,5,FALSE)</f>
        <v>199</v>
      </c>
      <c r="I136">
        <f t="shared" si="8"/>
        <v>28457</v>
      </c>
      <c r="J136" t="str">
        <f ca="1">INDEX({"Delivered","Delayed"},RANDBETWEEN(1,2))</f>
        <v>Delayed</v>
      </c>
    </row>
    <row r="137" spans="1:10" x14ac:dyDescent="0.25">
      <c r="A137" t="str">
        <f t="shared" ca="1" si="6"/>
        <v>4LDAW5WH</v>
      </c>
      <c r="B137" s="11">
        <v>45811</v>
      </c>
      <c r="C137" s="12" t="str">
        <f t="shared" si="7"/>
        <v>Jun</v>
      </c>
      <c r="D137" t="s">
        <v>7</v>
      </c>
      <c r="E137" t="str">
        <f>VLOOKUP(D137,Products!$A:$B,2,FALSE)</f>
        <v>Fresh Smooth &amp; Shiny Daily Silky Shampoo</v>
      </c>
      <c r="F137" t="str">
        <f ca="1">INDEX({"W101","W102","W103","W104"},RANDBETWEEN(1,4))</f>
        <v>W102</v>
      </c>
      <c r="G137">
        <v>86</v>
      </c>
      <c r="H137">
        <f>VLOOKUP(D137,Products!$A:$F,5,FALSE)</f>
        <v>185</v>
      </c>
      <c r="I137">
        <f t="shared" si="8"/>
        <v>15910</v>
      </c>
      <c r="J137" t="str">
        <f ca="1">INDEX({"Delivered","Delayed"},RANDBETWEEN(1,2))</f>
        <v>Delivered</v>
      </c>
    </row>
    <row r="138" spans="1:10" x14ac:dyDescent="0.25">
      <c r="A138" t="str">
        <f t="shared" ca="1" si="6"/>
        <v>H9J53ZAY</v>
      </c>
      <c r="B138" s="11">
        <v>45976</v>
      </c>
      <c r="C138" s="12" t="str">
        <f t="shared" si="7"/>
        <v>Nov</v>
      </c>
      <c r="D138" t="s">
        <v>9</v>
      </c>
      <c r="E138" t="str">
        <f>VLOOKUP(D138,Products!$A:$B,2,FALSE)</f>
        <v>Fresh 2-in-1 Shampoo + Conditioner for Kids (Mango Flavor)</v>
      </c>
      <c r="F138" t="str">
        <f ca="1">INDEX({"W101","W102","W103","W104"},RANDBETWEEN(1,4))</f>
        <v>W103</v>
      </c>
      <c r="G138">
        <v>51</v>
      </c>
      <c r="H138">
        <f>VLOOKUP(D138,Products!$A:$F,5,FALSE)</f>
        <v>225</v>
      </c>
      <c r="I138">
        <f t="shared" si="8"/>
        <v>11475</v>
      </c>
      <c r="J138" t="str">
        <f ca="1">INDEX({"Delivered","Delayed"},RANDBETWEEN(1,2))</f>
        <v>Delayed</v>
      </c>
    </row>
    <row r="139" spans="1:10" x14ac:dyDescent="0.25">
      <c r="A139" t="str">
        <f t="shared" ca="1" si="6"/>
        <v>S650S8FD</v>
      </c>
      <c r="B139" s="11">
        <v>45738</v>
      </c>
      <c r="C139" s="12" t="str">
        <f t="shared" si="7"/>
        <v>Mar</v>
      </c>
      <c r="D139" t="s">
        <v>11</v>
      </c>
      <c r="E139" t="str">
        <f>VLOOKUP(D139,Products!$A:$B,2,FALSE)</f>
        <v>Purely Apple Cider Vinegar Hair Therapy Shampoo</v>
      </c>
      <c r="F139" t="str">
        <f ca="1">INDEX({"W101","W102","W103","W104"},RANDBETWEEN(1,4))</f>
        <v>W103</v>
      </c>
      <c r="G139">
        <v>166</v>
      </c>
      <c r="H139">
        <f>VLOOKUP(D139,Products!$A:$F,5,FALSE)</f>
        <v>399</v>
      </c>
      <c r="I139">
        <f t="shared" si="8"/>
        <v>66234</v>
      </c>
      <c r="J139" t="str">
        <f ca="1">INDEX({"Delivered","Delayed"},RANDBETWEEN(1,2))</f>
        <v>Delayed</v>
      </c>
    </row>
    <row r="140" spans="1:10" x14ac:dyDescent="0.25">
      <c r="A140" t="str">
        <f t="shared" ca="1" si="6"/>
        <v>MYT5KYLF</v>
      </c>
      <c r="B140" s="11">
        <v>45979</v>
      </c>
      <c r="C140" s="12" t="str">
        <f t="shared" si="7"/>
        <v>Nov</v>
      </c>
      <c r="D140" t="s">
        <v>13</v>
      </c>
      <c r="E140" t="str">
        <f>VLOOKUP(D140,Products!$A:$B,2,FALSE)</f>
        <v>Purely Argan Oil &amp; Moroccan Clay Repair Shampoo</v>
      </c>
      <c r="F140" t="str">
        <f ca="1">INDEX({"W101","W102","W103","W104"},RANDBETWEEN(1,4))</f>
        <v>W104</v>
      </c>
      <c r="G140">
        <v>45</v>
      </c>
      <c r="H140">
        <f>VLOOKUP(D140,Products!$A:$F,5,FALSE)</f>
        <v>449</v>
      </c>
      <c r="I140">
        <f t="shared" si="8"/>
        <v>20205</v>
      </c>
      <c r="J140" t="str">
        <f ca="1">INDEX({"Delivered","Delayed"},RANDBETWEEN(1,2))</f>
        <v>Delivered</v>
      </c>
    </row>
    <row r="141" spans="1:10" x14ac:dyDescent="0.25">
      <c r="A141" t="str">
        <f t="shared" ca="1" si="6"/>
        <v>LHFQOA7Z</v>
      </c>
      <c r="B141" s="11">
        <v>45836</v>
      </c>
      <c r="C141" s="12" t="str">
        <f t="shared" si="7"/>
        <v>Jun</v>
      </c>
      <c r="D141" t="s">
        <v>15</v>
      </c>
      <c r="E141" t="str">
        <f>VLOOKUP(D141,Products!$A:$B,2,FALSE)</f>
        <v>Purely Activated Charcoal Deep Cleanse Men’s Shampoo</v>
      </c>
      <c r="F141" t="str">
        <f ca="1">INDEX({"W101","W102","W103","W104"},RANDBETWEEN(1,4))</f>
        <v>W102</v>
      </c>
      <c r="G141">
        <v>112</v>
      </c>
      <c r="H141">
        <f>VLOOKUP(D141,Products!$A:$F,5,FALSE)</f>
        <v>349</v>
      </c>
      <c r="I141">
        <f t="shared" si="8"/>
        <v>39088</v>
      </c>
      <c r="J141" t="str">
        <f ca="1">INDEX({"Delivered","Delayed"},RANDBETWEEN(1,2))</f>
        <v>Delayed</v>
      </c>
    </row>
    <row r="142" spans="1:10" x14ac:dyDescent="0.25">
      <c r="A142" t="str">
        <f t="shared" ca="1" si="6"/>
        <v>9596SXFJ</v>
      </c>
      <c r="B142" s="11">
        <v>45725</v>
      </c>
      <c r="C142" s="12" t="str">
        <f t="shared" si="7"/>
        <v>Mar</v>
      </c>
      <c r="D142" t="s">
        <v>17</v>
      </c>
      <c r="E142" t="str">
        <f>VLOOKUP(D142,Products!$A:$B,2,FALSE)</f>
        <v>Purely Fragrance-Free Ultra-Mild Sensitive Scalp Shampoo</v>
      </c>
      <c r="F142" t="str">
        <f ca="1">INDEX({"W101","W102","W103","W104"},RANDBETWEEN(1,4))</f>
        <v>W102</v>
      </c>
      <c r="G142">
        <v>137</v>
      </c>
      <c r="H142">
        <f>VLOOKUP(D142,Products!$A:$F,5,FALSE)</f>
        <v>375</v>
      </c>
      <c r="I142">
        <f t="shared" si="8"/>
        <v>51375</v>
      </c>
      <c r="J142" t="str">
        <f ca="1">INDEX({"Delivered","Delayed"},RANDBETWEEN(1,2))</f>
        <v>Delivered</v>
      </c>
    </row>
    <row r="143" spans="1:10" x14ac:dyDescent="0.25">
      <c r="A143" t="str">
        <f t="shared" ca="1" si="6"/>
        <v>E7AVDDEY</v>
      </c>
      <c r="B143" s="11">
        <v>45887</v>
      </c>
      <c r="C143" s="12" t="str">
        <f t="shared" si="7"/>
        <v>Aug</v>
      </c>
      <c r="D143" t="s">
        <v>19</v>
      </c>
      <c r="E143" t="str">
        <f>VLOOKUP(D143,Products!$A:$B,2,FALSE)</f>
        <v>Fresh Vitamin E &amp; Aloe Vera Moisturizing Bar</v>
      </c>
      <c r="F143" t="str">
        <f ca="1">INDEX({"W101","W102","W103","W104"},RANDBETWEEN(1,4))</f>
        <v>W102</v>
      </c>
      <c r="G143">
        <v>169</v>
      </c>
      <c r="H143">
        <f>VLOOKUP(D143,Products!$A:$F,5,FALSE)</f>
        <v>45</v>
      </c>
      <c r="I143">
        <f t="shared" si="8"/>
        <v>7605</v>
      </c>
      <c r="J143" t="str">
        <f ca="1">INDEX({"Delivered","Delayed"},RANDBETWEEN(1,2))</f>
        <v>Delivered</v>
      </c>
    </row>
    <row r="144" spans="1:10" x14ac:dyDescent="0.25">
      <c r="A144" t="str">
        <f t="shared" ca="1" si="6"/>
        <v>W6KAOWWZ</v>
      </c>
      <c r="B144" s="11">
        <v>45753</v>
      </c>
      <c r="C144" s="12" t="str">
        <f t="shared" si="7"/>
        <v>Apr</v>
      </c>
      <c r="D144" t="s">
        <v>21</v>
      </c>
      <c r="E144" t="str">
        <f>VLOOKUP(D144,Products!$A:$B,2,FALSE)</f>
        <v>Fresh Refreshing Lemon &amp; Neem Germ Protection Soap</v>
      </c>
      <c r="F144" t="str">
        <f ca="1">INDEX({"W101","W102","W103","W104"},RANDBETWEEN(1,4))</f>
        <v>W103</v>
      </c>
      <c r="G144">
        <v>40</v>
      </c>
      <c r="H144">
        <f>VLOOKUP(D144,Products!$A:$F,5,FALSE)</f>
        <v>40</v>
      </c>
      <c r="I144">
        <f t="shared" si="8"/>
        <v>1600</v>
      </c>
      <c r="J144" t="str">
        <f ca="1">INDEX({"Delivered","Delayed"},RANDBETWEEN(1,2))</f>
        <v>Delayed</v>
      </c>
    </row>
    <row r="145" spans="1:10" x14ac:dyDescent="0.25">
      <c r="A145" t="str">
        <f t="shared" ca="1" si="6"/>
        <v>UXEW5V9M</v>
      </c>
      <c r="B145" s="11">
        <v>45982</v>
      </c>
      <c r="C145" s="12" t="str">
        <f t="shared" si="7"/>
        <v>Nov</v>
      </c>
      <c r="D145" t="s">
        <v>23</v>
      </c>
      <c r="E145" t="str">
        <f>VLOOKUP(D145,Products!$A:$B,2,FALSE)</f>
        <v>Fresh Rose Petal Cream Bathing Bar</v>
      </c>
      <c r="F145" t="str">
        <f ca="1">INDEX({"W101","W102","W103","W104"},RANDBETWEEN(1,4))</f>
        <v>W102</v>
      </c>
      <c r="G145">
        <v>152</v>
      </c>
      <c r="H145">
        <f>VLOOKUP(D145,Products!$A:$F,5,FALSE)</f>
        <v>45</v>
      </c>
      <c r="I145">
        <f t="shared" si="8"/>
        <v>6840</v>
      </c>
      <c r="J145" t="str">
        <f ca="1">INDEX({"Delivered","Delayed"},RANDBETWEEN(1,2))</f>
        <v>Delivered</v>
      </c>
    </row>
    <row r="146" spans="1:10" x14ac:dyDescent="0.25">
      <c r="A146" t="str">
        <f t="shared" ca="1" si="6"/>
        <v>KUV4RJSD</v>
      </c>
      <c r="B146" s="11">
        <v>46021</v>
      </c>
      <c r="C146" s="12" t="str">
        <f t="shared" si="7"/>
        <v>Dec</v>
      </c>
      <c r="D146" t="s">
        <v>25</v>
      </c>
      <c r="E146" t="str">
        <f>VLOOKUP(D146,Products!$A:$B,2,FALSE)</f>
        <v>Purely Handcrafted Oatmeal &amp; Honey Exfoliating Scrub Soap</v>
      </c>
      <c r="F146" t="str">
        <f ca="1">INDEX({"W101","W102","W103","W104"},RANDBETWEEN(1,4))</f>
        <v>W104</v>
      </c>
      <c r="G146">
        <v>125</v>
      </c>
      <c r="H146">
        <f>VLOOKUP(D146,Products!$A:$F,5,FALSE)</f>
        <v>125</v>
      </c>
      <c r="I146">
        <f t="shared" si="8"/>
        <v>15625</v>
      </c>
      <c r="J146" t="str">
        <f ca="1">INDEX({"Delivered","Delayed"},RANDBETWEEN(1,2))</f>
        <v>Delayed</v>
      </c>
    </row>
    <row r="147" spans="1:10" x14ac:dyDescent="0.25">
      <c r="A147" t="str">
        <f t="shared" ca="1" si="6"/>
        <v>F7P9VQKO</v>
      </c>
      <c r="B147" s="11">
        <v>45763</v>
      </c>
      <c r="C147" s="12" t="str">
        <f t="shared" si="7"/>
        <v>Apr</v>
      </c>
      <c r="D147" t="s">
        <v>27</v>
      </c>
      <c r="E147" t="str">
        <f>VLOOKUP(D147,Products!$A:$B,2,FALSE)</f>
        <v>Purely Tea Tree &amp; Salicylic Acid Acne-Control Bar</v>
      </c>
      <c r="F147" t="str">
        <f ca="1">INDEX({"W101","W102","W103","W104"},RANDBETWEEN(1,4))</f>
        <v>W104</v>
      </c>
      <c r="G147">
        <v>78</v>
      </c>
      <c r="H147">
        <f>VLOOKUP(D147,Products!$A:$F,5,FALSE)</f>
        <v>140</v>
      </c>
      <c r="I147">
        <f t="shared" si="8"/>
        <v>10920</v>
      </c>
      <c r="J147" t="str">
        <f ca="1">INDEX({"Delivered","Delayed"},RANDBETWEEN(1,2))</f>
        <v>Delayed</v>
      </c>
    </row>
    <row r="148" spans="1:10" x14ac:dyDescent="0.25">
      <c r="A148" t="str">
        <f t="shared" ca="1" si="6"/>
        <v>5FYNTMF7</v>
      </c>
      <c r="B148" s="11">
        <v>45752</v>
      </c>
      <c r="C148" s="12" t="str">
        <f t="shared" si="7"/>
        <v>Apr</v>
      </c>
      <c r="D148" t="s">
        <v>29</v>
      </c>
      <c r="E148" t="str">
        <f>VLOOKUP(D148,Products!$A:$B,2,FALSE)</f>
        <v>Fresh Lemon Power Detergent Powder (Tough Stain Remover)</v>
      </c>
      <c r="F148" t="str">
        <f ca="1">INDEX({"W101","W102","W103","W104"},RANDBETWEEN(1,4))</f>
        <v>W101</v>
      </c>
      <c r="G148">
        <v>71</v>
      </c>
      <c r="H148">
        <f>VLOOKUP(D148,Products!$A:$F,5,FALSE)</f>
        <v>149</v>
      </c>
      <c r="I148">
        <f t="shared" si="8"/>
        <v>10579</v>
      </c>
      <c r="J148" t="str">
        <f ca="1">INDEX({"Delivered","Delayed"},RANDBETWEEN(1,2))</f>
        <v>Delayed</v>
      </c>
    </row>
    <row r="149" spans="1:10" x14ac:dyDescent="0.25">
      <c r="A149" t="str">
        <f t="shared" ca="1" si="6"/>
        <v>JZQE747S</v>
      </c>
      <c r="B149" s="11">
        <v>45937</v>
      </c>
      <c r="C149" s="12" t="str">
        <f t="shared" si="7"/>
        <v>Oct</v>
      </c>
      <c r="D149" t="s">
        <v>32</v>
      </c>
      <c r="E149" t="str">
        <f>VLOOKUP(D149,Products!$A:$B,2,FALSE)</f>
        <v>Fresh Lavender Fields Liquid Detergent (Front &amp; Top Load)</v>
      </c>
      <c r="F149" t="str">
        <f ca="1">INDEX({"W101","W102","W103","W104"},RANDBETWEEN(1,4))</f>
        <v>W101</v>
      </c>
      <c r="G149">
        <v>171</v>
      </c>
      <c r="H149">
        <f>VLOOKUP(D149,Products!$A:$F,5,FALSE)</f>
        <v>249</v>
      </c>
      <c r="I149">
        <f t="shared" si="8"/>
        <v>42579</v>
      </c>
      <c r="J149" t="str">
        <f ca="1">INDEX({"Delivered","Delayed"},RANDBETWEEN(1,2))</f>
        <v>Delayed</v>
      </c>
    </row>
    <row r="150" spans="1:10" x14ac:dyDescent="0.25">
      <c r="A150" t="str">
        <f t="shared" ca="1" si="6"/>
        <v>VG5G8CO7</v>
      </c>
      <c r="B150" s="11">
        <v>45669</v>
      </c>
      <c r="C150" s="12" t="str">
        <f t="shared" si="7"/>
        <v>Jan</v>
      </c>
      <c r="D150" t="s">
        <v>34</v>
      </c>
      <c r="E150" t="str">
        <f>VLOOKUP(D150,Products!$A:$B,2,FALSE)</f>
        <v>Fresh Fabric Conditioner &amp; Softener (Morning Dew)</v>
      </c>
      <c r="F150" t="str">
        <f ca="1">INDEX({"W101","W102","W103","W104"},RANDBETWEEN(1,4))</f>
        <v>W101</v>
      </c>
      <c r="G150">
        <v>137</v>
      </c>
      <c r="H150">
        <f>VLOOKUP(D150,Products!$A:$F,5,FALSE)</f>
        <v>180</v>
      </c>
      <c r="I150">
        <f t="shared" si="8"/>
        <v>24660</v>
      </c>
      <c r="J150" t="str">
        <f ca="1">INDEX({"Delivered","Delayed"},RANDBETWEEN(1,2))</f>
        <v>Delayed</v>
      </c>
    </row>
    <row r="151" spans="1:10" x14ac:dyDescent="0.25">
      <c r="A151" t="str">
        <f t="shared" ca="1" si="6"/>
        <v>CT29WAI5</v>
      </c>
      <c r="B151" s="11">
        <v>45800</v>
      </c>
      <c r="C151" s="12" t="str">
        <f t="shared" si="7"/>
        <v>May</v>
      </c>
      <c r="D151" t="s">
        <v>36</v>
      </c>
      <c r="E151" t="str">
        <f>VLOOKUP(D151,Products!$A:$B,2,FALSE)</f>
        <v>Purely Plant-Based Baby Laundry Detergent (Hypoallergenic)</v>
      </c>
      <c r="F151" t="str">
        <f ca="1">INDEX({"W101","W102","W103","W104"},RANDBETWEEN(1,4))</f>
        <v>W102</v>
      </c>
      <c r="G151">
        <v>120</v>
      </c>
      <c r="H151">
        <f>VLOOKUP(D151,Products!$A:$F,5,FALSE)</f>
        <v>425</v>
      </c>
      <c r="I151">
        <f t="shared" si="8"/>
        <v>51000</v>
      </c>
      <c r="J151" t="str">
        <f ca="1">INDEX({"Delivered","Delayed"},RANDBETWEEN(1,2))</f>
        <v>Delayed</v>
      </c>
    </row>
    <row r="152" spans="1:10" x14ac:dyDescent="0.25">
      <c r="A152" t="str">
        <f t="shared" ca="1" si="6"/>
        <v>VJT38VY2</v>
      </c>
      <c r="B152" s="11">
        <v>45774</v>
      </c>
      <c r="C152" s="12" t="str">
        <f t="shared" si="7"/>
        <v>Apr</v>
      </c>
      <c r="D152" t="s">
        <v>38</v>
      </c>
      <c r="E152" t="str">
        <f>VLOOKUP(D152,Products!$A:$B,2,FALSE)</f>
        <v>Purely Eucalyptus Eco-Friendly Detergent Sheets</v>
      </c>
      <c r="F152" t="str">
        <f ca="1">INDEX({"W101","W102","W103","W104"},RANDBETWEEN(1,4))</f>
        <v>W103</v>
      </c>
      <c r="G152">
        <v>100</v>
      </c>
      <c r="H152">
        <f>VLOOKUP(D152,Products!$A:$F,5,FALSE)</f>
        <v>399</v>
      </c>
      <c r="I152">
        <f t="shared" si="8"/>
        <v>39900</v>
      </c>
      <c r="J152" t="str">
        <f ca="1">INDEX({"Delivered","Delayed"},RANDBETWEEN(1,2))</f>
        <v>Delayed</v>
      </c>
    </row>
    <row r="153" spans="1:10" x14ac:dyDescent="0.25">
      <c r="A153" t="str">
        <f t="shared" ca="1" si="6"/>
        <v>HT1XUYD0</v>
      </c>
      <c r="B153" s="11">
        <v>45883</v>
      </c>
      <c r="C153" s="12" t="str">
        <f t="shared" si="7"/>
        <v>Aug</v>
      </c>
      <c r="D153" t="s">
        <v>40</v>
      </c>
      <c r="E153" t="str">
        <f>VLOOKUP(D153,Products!$A:$B,2,FALSE)</f>
        <v>Purely Bio-Enzyme Liquid Detergent for Delicate Fabrics (Silk/Wool)</v>
      </c>
      <c r="F153" t="str">
        <f ca="1">INDEX({"W101","W102","W103","W104"},RANDBETWEEN(1,4))</f>
        <v>W104</v>
      </c>
      <c r="G153">
        <v>39</v>
      </c>
      <c r="H153">
        <f>VLOOKUP(D153,Products!$A:$F,5,FALSE)</f>
        <v>499</v>
      </c>
      <c r="I153">
        <f t="shared" si="8"/>
        <v>19461</v>
      </c>
      <c r="J153" t="str">
        <f ca="1">INDEX({"Delivered","Delayed"},RANDBETWEEN(1,2))</f>
        <v>Delivered</v>
      </c>
    </row>
    <row r="154" spans="1:10" x14ac:dyDescent="0.25">
      <c r="A154" t="str">
        <f t="shared" ca="1" si="6"/>
        <v>87LTVXT2</v>
      </c>
      <c r="B154" s="11">
        <v>46012</v>
      </c>
      <c r="C154" s="12" t="str">
        <f t="shared" si="7"/>
        <v>Dec</v>
      </c>
      <c r="D154" t="s">
        <v>42</v>
      </c>
      <c r="E154" t="str">
        <f>VLOOKUP(D154,Products!$A:$B,2,FALSE)</f>
        <v>Fresh Glucose Power Biscuits (Value Pack)</v>
      </c>
      <c r="F154" t="str">
        <f ca="1">INDEX({"W101","W102","W103","W104"},RANDBETWEEN(1,4))</f>
        <v>W102</v>
      </c>
      <c r="G154">
        <v>134</v>
      </c>
      <c r="H154">
        <f>VLOOKUP(D154,Products!$A:$F,5,FALSE)</f>
        <v>40</v>
      </c>
      <c r="I154">
        <f t="shared" si="8"/>
        <v>5360</v>
      </c>
      <c r="J154" t="str">
        <f ca="1">INDEX({"Delivered","Delayed"},RANDBETWEEN(1,2))</f>
        <v>Delayed</v>
      </c>
    </row>
    <row r="155" spans="1:10" x14ac:dyDescent="0.25">
      <c r="A155" t="str">
        <f t="shared" ca="1" si="6"/>
        <v>9GA0UUPK</v>
      </c>
      <c r="B155" s="11">
        <v>45956</v>
      </c>
      <c r="C155" s="12" t="str">
        <f t="shared" si="7"/>
        <v>Oct</v>
      </c>
      <c r="D155" t="s">
        <v>45</v>
      </c>
      <c r="E155" t="str">
        <f>VLOOKUP(D155,Products!$A:$B,2,FALSE)</f>
        <v>Fresh Crunchy Choco-Chip Cookies</v>
      </c>
      <c r="F155" t="str">
        <f ca="1">INDEX({"W101","W102","W103","W104"},RANDBETWEEN(1,4))</f>
        <v>W103</v>
      </c>
      <c r="G155">
        <v>57</v>
      </c>
      <c r="H155">
        <f>VLOOKUP(D155,Products!$A:$F,5,FALSE)</f>
        <v>60</v>
      </c>
      <c r="I155">
        <f t="shared" si="8"/>
        <v>3420</v>
      </c>
      <c r="J155" t="str">
        <f ca="1">INDEX({"Delivered","Delayed"},RANDBETWEEN(1,2))</f>
        <v>Delivered</v>
      </c>
    </row>
    <row r="156" spans="1:10" x14ac:dyDescent="0.25">
      <c r="A156" t="str">
        <f t="shared" ca="1" si="6"/>
        <v>IQR39Z94</v>
      </c>
      <c r="B156" s="11">
        <v>45790</v>
      </c>
      <c r="C156" s="12" t="str">
        <f t="shared" si="7"/>
        <v>May</v>
      </c>
      <c r="D156" t="s">
        <v>47</v>
      </c>
      <c r="E156" t="str">
        <f>VLOOKUP(D156,Products!$A:$B,2,FALSE)</f>
        <v>Purely 100% Whole Wheat Digestives (Zero Sugar added)</v>
      </c>
      <c r="F156" t="str">
        <f ca="1">INDEX({"W101","W102","W103","W104"},RANDBETWEEN(1,4))</f>
        <v>W101</v>
      </c>
      <c r="G156">
        <v>165</v>
      </c>
      <c r="H156">
        <f>VLOOKUP(D156,Products!$A:$F,5,FALSE)</f>
        <v>120</v>
      </c>
      <c r="I156">
        <f t="shared" si="8"/>
        <v>19800</v>
      </c>
      <c r="J156" t="str">
        <f ca="1">INDEX({"Delivered","Delayed"},RANDBETWEEN(1,2))</f>
        <v>Delivered</v>
      </c>
    </row>
    <row r="157" spans="1:10" x14ac:dyDescent="0.25">
      <c r="A157" t="str">
        <f t="shared" ca="1" si="6"/>
        <v>A4OCV7WG</v>
      </c>
      <c r="B157" s="11">
        <v>45826</v>
      </c>
      <c r="C157" s="12" t="str">
        <f t="shared" si="7"/>
        <v>Jun</v>
      </c>
      <c r="D157" t="s">
        <v>49</v>
      </c>
      <c r="E157" t="str">
        <f>VLOOKUP(D157,Products!$A:$B,2,FALSE)</f>
        <v>Purely Almond &amp; Chia Seed Millet Oats Biscuits</v>
      </c>
      <c r="F157" t="str">
        <f ca="1">INDEX({"W101","W102","W103","W104"},RANDBETWEEN(1,4))</f>
        <v>W101</v>
      </c>
      <c r="G157">
        <v>34</v>
      </c>
      <c r="H157">
        <f>VLOOKUP(D157,Products!$A:$F,5,FALSE)</f>
        <v>149</v>
      </c>
      <c r="I157">
        <f t="shared" si="8"/>
        <v>5066</v>
      </c>
      <c r="J157" t="str">
        <f ca="1">INDEX({"Delivered","Delayed"},RANDBETWEEN(1,2))</f>
        <v>Delayed</v>
      </c>
    </row>
    <row r="158" spans="1:10" x14ac:dyDescent="0.25">
      <c r="A158" t="str">
        <f t="shared" ca="1" si="6"/>
        <v>6Z6IWKV1</v>
      </c>
      <c r="B158" s="11">
        <v>45861</v>
      </c>
      <c r="C158" s="12" t="str">
        <f t="shared" si="7"/>
        <v>Jul</v>
      </c>
      <c r="D158" t="s">
        <v>51</v>
      </c>
      <c r="E158" t="str">
        <f>VLOOKUP(D158,Products!$A:$B,2,FALSE)</f>
        <v>Purely Keto-Friendly Coconut Flour Cookies</v>
      </c>
      <c r="F158" t="str">
        <f ca="1">INDEX({"W101","W102","W103","W104"},RANDBETWEEN(1,4))</f>
        <v>W104</v>
      </c>
      <c r="G158">
        <v>89</v>
      </c>
      <c r="H158">
        <f>VLOOKUP(D158,Products!$A:$F,5,FALSE)</f>
        <v>220</v>
      </c>
      <c r="I158">
        <f t="shared" si="8"/>
        <v>19580</v>
      </c>
      <c r="J158" t="str">
        <f ca="1">INDEX({"Delivered","Delayed"},RANDBETWEEN(1,2))</f>
        <v>Delivered</v>
      </c>
    </row>
    <row r="159" spans="1:10" x14ac:dyDescent="0.25">
      <c r="A159" t="str">
        <f t="shared" ca="1" si="6"/>
        <v>2WJ50LFD</v>
      </c>
      <c r="B159" s="11">
        <v>45687</v>
      </c>
      <c r="C159" s="12" t="str">
        <f t="shared" si="7"/>
        <v>Jan</v>
      </c>
      <c r="D159" t="s">
        <v>53</v>
      </c>
      <c r="E159" t="str">
        <f>VLOOKUP(D159,Products!$A:$B,2,FALSE)</f>
        <v>Fresh Classic Salted Potato Chips (Party Pack)</v>
      </c>
      <c r="F159" t="str">
        <f ca="1">INDEX({"W101","W102","W103","W104"},RANDBETWEEN(1,4))</f>
        <v>W104</v>
      </c>
      <c r="G159">
        <v>39</v>
      </c>
      <c r="H159">
        <f>VLOOKUP(D159,Products!$A:$F,5,FALSE)</f>
        <v>50</v>
      </c>
      <c r="I159">
        <f t="shared" si="8"/>
        <v>1950</v>
      </c>
      <c r="J159" t="str">
        <f ca="1">INDEX({"Delivered","Delayed"},RANDBETWEEN(1,2))</f>
        <v>Delayed</v>
      </c>
    </row>
    <row r="160" spans="1:10" x14ac:dyDescent="0.25">
      <c r="A160" t="str">
        <f t="shared" ca="1" si="6"/>
        <v>9LBFAJ7Q</v>
      </c>
      <c r="B160" s="11">
        <v>45710</v>
      </c>
      <c r="C160" s="12" t="str">
        <f t="shared" si="7"/>
        <v>Feb</v>
      </c>
      <c r="D160" t="s">
        <v>55</v>
      </c>
      <c r="E160" t="str">
        <f>VLOOKUP(D160,Products!$A:$B,2,FALSE)</f>
        <v>Fresh Tangy Tomato Masala Potato Chips</v>
      </c>
      <c r="F160" t="str">
        <f ca="1">INDEX({"W101","W102","W103","W104"},RANDBETWEEN(1,4))</f>
        <v>W103</v>
      </c>
      <c r="G160">
        <v>134</v>
      </c>
      <c r="H160">
        <f>VLOOKUP(D160,Products!$A:$F,5,FALSE)</f>
        <v>30</v>
      </c>
      <c r="I160">
        <f t="shared" si="8"/>
        <v>4020</v>
      </c>
      <c r="J160" t="str">
        <f ca="1">INDEX({"Delivered","Delayed"},RANDBETWEEN(1,2))</f>
        <v>Delivered</v>
      </c>
    </row>
    <row r="161" spans="1:10" x14ac:dyDescent="0.25">
      <c r="A161" t="str">
        <f t="shared" ca="1" si="6"/>
        <v>SWHHMYP1</v>
      </c>
      <c r="B161" s="11">
        <v>45669</v>
      </c>
      <c r="C161" s="12" t="str">
        <f t="shared" si="7"/>
        <v>Jan</v>
      </c>
      <c r="D161" t="s">
        <v>57</v>
      </c>
      <c r="E161" t="str">
        <f>VLOOKUP(D161,Products!$A:$B,2,FALSE)</f>
        <v>Fresh Crunchy Peri-Peri Corn Puffs</v>
      </c>
      <c r="F161" t="str">
        <f ca="1">INDEX({"W101","W102","W103","W104"},RANDBETWEEN(1,4))</f>
        <v>W101</v>
      </c>
      <c r="G161">
        <v>40</v>
      </c>
      <c r="H161">
        <f>VLOOKUP(D161,Products!$A:$F,5,FALSE)</f>
        <v>45</v>
      </c>
      <c r="I161">
        <f t="shared" si="8"/>
        <v>1800</v>
      </c>
      <c r="J161" t="str">
        <f ca="1">INDEX({"Delivered","Delayed"},RANDBETWEEN(1,2))</f>
        <v>Delayed</v>
      </c>
    </row>
    <row r="162" spans="1:10" x14ac:dyDescent="0.25">
      <c r="A162" t="str">
        <f t="shared" ca="1" si="6"/>
        <v>S5NQJB90</v>
      </c>
      <c r="B162" s="11">
        <v>45708</v>
      </c>
      <c r="C162" s="12" t="str">
        <f t="shared" si="7"/>
        <v>Feb</v>
      </c>
      <c r="D162" t="s">
        <v>59</v>
      </c>
      <c r="E162" t="str">
        <f>VLOOKUP(D162,Products!$A:$B,2,FALSE)</f>
        <v>Purely Vacuum-Fried Sweet Potato Chips</v>
      </c>
      <c r="F162" t="str">
        <f ca="1">INDEX({"W101","W102","W103","W104"},RANDBETWEEN(1,4))</f>
        <v>W101</v>
      </c>
      <c r="G162">
        <v>46</v>
      </c>
      <c r="H162">
        <f>VLOOKUP(D162,Products!$A:$F,5,FALSE)</f>
        <v>99</v>
      </c>
      <c r="I162">
        <f t="shared" si="8"/>
        <v>4554</v>
      </c>
      <c r="J162" t="str">
        <f ca="1">INDEX({"Delivered","Delayed"},RANDBETWEEN(1,2))</f>
        <v>Delayed</v>
      </c>
    </row>
    <row r="163" spans="1:10" x14ac:dyDescent="0.25">
      <c r="A163" t="str">
        <f t="shared" ca="1" si="6"/>
        <v>8321WC8V</v>
      </c>
      <c r="B163" s="11">
        <v>45937</v>
      </c>
      <c r="C163" s="12" t="str">
        <f t="shared" si="7"/>
        <v>Oct</v>
      </c>
      <c r="D163" t="s">
        <v>61</v>
      </c>
      <c r="E163" t="str">
        <f>VLOOKUP(D163,Products!$A:$B,2,FALSE)</f>
        <v>Purely Baked Quinoa Puffs (Sour Cream &amp; Onion)</v>
      </c>
      <c r="F163" t="str">
        <f ca="1">INDEX({"W101","W102","W103","W104"},RANDBETWEEN(1,4))</f>
        <v>W104</v>
      </c>
      <c r="G163">
        <v>74</v>
      </c>
      <c r="H163">
        <f>VLOOKUP(D163,Products!$A:$F,5,FALSE)</f>
        <v>115</v>
      </c>
      <c r="I163">
        <f t="shared" si="8"/>
        <v>8510</v>
      </c>
      <c r="J163" t="str">
        <f ca="1">INDEX({"Delivered","Delayed"},RANDBETWEEN(1,2))</f>
        <v>Delayed</v>
      </c>
    </row>
    <row r="164" spans="1:10" x14ac:dyDescent="0.25">
      <c r="A164" t="str">
        <f t="shared" ca="1" si="6"/>
        <v>NS1B2URM</v>
      </c>
      <c r="B164" s="11">
        <v>45811</v>
      </c>
      <c r="C164" s="12" t="str">
        <f t="shared" si="7"/>
        <v>Jun</v>
      </c>
      <c r="D164" t="s">
        <v>63</v>
      </c>
      <c r="E164" t="str">
        <f>VLOOKUP(D164,Products!$A:$B,2,FALSE)</f>
        <v>Fresh 100% Pure Mixed Fruit Juice</v>
      </c>
      <c r="F164" t="str">
        <f ca="1">INDEX({"W101","W102","W103","W104"},RANDBETWEEN(1,4))</f>
        <v>W104</v>
      </c>
      <c r="G164">
        <v>93</v>
      </c>
      <c r="H164">
        <f>VLOOKUP(D164,Products!$A:$F,5,FALSE)</f>
        <v>125</v>
      </c>
      <c r="I164">
        <f t="shared" si="8"/>
        <v>11625</v>
      </c>
      <c r="J164" t="str">
        <f ca="1">INDEX({"Delivered","Delayed"},RANDBETWEEN(1,2))</f>
        <v>Delivered</v>
      </c>
    </row>
    <row r="165" spans="1:10" x14ac:dyDescent="0.25">
      <c r="A165" t="str">
        <f t="shared" ca="1" si="6"/>
        <v>QLNLLOMQ</v>
      </c>
      <c r="B165" s="11">
        <v>45726</v>
      </c>
      <c r="C165" s="12" t="str">
        <f t="shared" si="7"/>
        <v>Mar</v>
      </c>
      <c r="D165" t="s">
        <v>66</v>
      </c>
      <c r="E165" t="str">
        <f>VLOOKUP(D165,Products!$A:$B,2,FALSE)</f>
        <v>Fresh Refreshing Alphonso Mango Drink</v>
      </c>
      <c r="F165" t="str">
        <f ca="1">INDEX({"W101","W102","W103","W104"},RANDBETWEEN(1,4))</f>
        <v>W102</v>
      </c>
      <c r="G165">
        <v>33</v>
      </c>
      <c r="H165">
        <f>VLOOKUP(D165,Products!$A:$F,5,FALSE)</f>
        <v>99</v>
      </c>
      <c r="I165">
        <f t="shared" si="8"/>
        <v>3267</v>
      </c>
      <c r="J165" t="str">
        <f ca="1">INDEX({"Delivered","Delayed"},RANDBETWEEN(1,2))</f>
        <v>Delayed</v>
      </c>
    </row>
    <row r="166" spans="1:10" x14ac:dyDescent="0.25">
      <c r="A166" t="str">
        <f t="shared" ca="1" si="6"/>
        <v>PR8T6TS9</v>
      </c>
      <c r="B166" s="11">
        <v>45804</v>
      </c>
      <c r="C166" s="12" t="str">
        <f t="shared" si="7"/>
        <v>May</v>
      </c>
      <c r="D166" t="s">
        <v>68</v>
      </c>
      <c r="E166" t="str">
        <f>VLOOKUP(D166,Products!$A:$B,2,FALSE)</f>
        <v>Fresh Zesty Orange Juice with Juicy Pulp</v>
      </c>
      <c r="F166" t="str">
        <f ca="1">INDEX({"W101","W102","W103","W104"},RANDBETWEEN(1,4))</f>
        <v>W103</v>
      </c>
      <c r="G166">
        <v>110</v>
      </c>
      <c r="H166">
        <f>VLOOKUP(D166,Products!$A:$F,5,FALSE)</f>
        <v>115</v>
      </c>
      <c r="I166">
        <f t="shared" si="8"/>
        <v>12650</v>
      </c>
      <c r="J166" t="str">
        <f ca="1">INDEX({"Delivered","Delayed"},RANDBETWEEN(1,2))</f>
        <v>Delivered</v>
      </c>
    </row>
    <row r="167" spans="1:10" x14ac:dyDescent="0.25">
      <c r="A167" t="str">
        <f t="shared" ca="1" si="6"/>
        <v>AYFBYC1Z</v>
      </c>
      <c r="B167" s="11">
        <v>45691</v>
      </c>
      <c r="C167" s="12" t="str">
        <f t="shared" si="7"/>
        <v>Feb</v>
      </c>
      <c r="D167" t="s">
        <v>70</v>
      </c>
      <c r="E167" t="str">
        <f>VLOOKUP(D167,Products!$A:$B,2,FALSE)</f>
        <v>Fresh Guava Chilli Tangy Nectar</v>
      </c>
      <c r="F167" t="str">
        <f ca="1">INDEX({"W101","W102","W103","W104"},RANDBETWEEN(1,4))</f>
        <v>W101</v>
      </c>
      <c r="G167">
        <v>25</v>
      </c>
      <c r="H167">
        <f>VLOOKUP(D167,Products!$A:$F,5,FALSE)</f>
        <v>120</v>
      </c>
      <c r="I167">
        <f t="shared" si="8"/>
        <v>3000</v>
      </c>
      <c r="J167" t="str">
        <f ca="1">INDEX({"Delivered","Delayed"},RANDBETWEEN(1,2))</f>
        <v>Delivered</v>
      </c>
    </row>
    <row r="168" spans="1:10" x14ac:dyDescent="0.25">
      <c r="A168" t="str">
        <f t="shared" ca="1" si="6"/>
        <v>USASDYEN</v>
      </c>
      <c r="B168" s="11">
        <v>45662</v>
      </c>
      <c r="C168" s="12" t="str">
        <f t="shared" si="7"/>
        <v>Jan</v>
      </c>
      <c r="D168" t="s">
        <v>72</v>
      </c>
      <c r="E168" t="str">
        <f>VLOOKUP(D168,Products!$A:$B,2,FALSE)</f>
        <v>Purely Cold-Pressed Green Juice (Spinach, Cucumber, Green Apple)</v>
      </c>
      <c r="F168" t="str">
        <f ca="1">INDEX({"W101","W102","W103","W104"},RANDBETWEEN(1,4))</f>
        <v>W101</v>
      </c>
      <c r="G168">
        <v>60</v>
      </c>
      <c r="H168">
        <f>VLOOKUP(D168,Products!$A:$F,5,FALSE)</f>
        <v>249</v>
      </c>
      <c r="I168">
        <f t="shared" si="8"/>
        <v>14940</v>
      </c>
      <c r="J168" t="str">
        <f ca="1">INDEX({"Delivered","Delayed"},RANDBETWEEN(1,2))</f>
        <v>Delivered</v>
      </c>
    </row>
    <row r="169" spans="1:10" x14ac:dyDescent="0.25">
      <c r="A169" t="str">
        <f t="shared" ca="1" si="6"/>
        <v>XSQV08N6</v>
      </c>
      <c r="B169" s="11">
        <v>45887</v>
      </c>
      <c r="C169" s="12" t="str">
        <f t="shared" si="7"/>
        <v>Aug</v>
      </c>
      <c r="D169" t="s">
        <v>74</v>
      </c>
      <c r="E169" t="str">
        <f>VLOOKUP(D169,Products!$A:$B,2,FALSE)</f>
        <v>Purely Antioxidant Pomegranate &amp; Beetroot Detox Juice</v>
      </c>
      <c r="F169" t="str">
        <f ca="1">INDEX({"W101","W102","W103","W104"},RANDBETWEEN(1,4))</f>
        <v>W104</v>
      </c>
      <c r="G169">
        <v>108</v>
      </c>
      <c r="H169">
        <f>VLOOKUP(D169,Products!$A:$F,5,FALSE)</f>
        <v>275</v>
      </c>
      <c r="I169">
        <f t="shared" si="8"/>
        <v>29700</v>
      </c>
      <c r="J169" t="str">
        <f ca="1">INDEX({"Delivered","Delayed"},RANDBETWEEN(1,2))</f>
        <v>Delivered</v>
      </c>
    </row>
    <row r="170" spans="1:10" x14ac:dyDescent="0.25">
      <c r="A170" t="str">
        <f t="shared" ca="1" si="6"/>
        <v>1OV73RC3</v>
      </c>
      <c r="B170" s="11">
        <v>45821</v>
      </c>
      <c r="C170" s="12" t="str">
        <f t="shared" si="7"/>
        <v>Jun</v>
      </c>
      <c r="D170" t="s">
        <v>76</v>
      </c>
      <c r="E170" t="str">
        <f>VLOOKUP(D170,Products!$A:$B,2,FALSE)</f>
        <v>Fresh Strong Assam CTC Daily Chai</v>
      </c>
      <c r="F170" t="str">
        <f ca="1">INDEX({"W101","W102","W103","W104"},RANDBETWEEN(1,4))</f>
        <v>W101</v>
      </c>
      <c r="G170">
        <v>118</v>
      </c>
      <c r="H170">
        <f>VLOOKUP(D170,Products!$A:$F,5,FALSE)</f>
        <v>160</v>
      </c>
      <c r="I170">
        <f t="shared" si="8"/>
        <v>18880</v>
      </c>
      <c r="J170" t="str">
        <f ca="1">INDEX({"Delivered","Delayed"},RANDBETWEEN(1,2))</f>
        <v>Delivered</v>
      </c>
    </row>
    <row r="171" spans="1:10" x14ac:dyDescent="0.25">
      <c r="A171" t="str">
        <f t="shared" ca="1" si="6"/>
        <v>MXDSI7IT</v>
      </c>
      <c r="B171" s="11">
        <v>45992</v>
      </c>
      <c r="C171" s="12" t="str">
        <f t="shared" si="7"/>
        <v>Dec</v>
      </c>
      <c r="D171" t="s">
        <v>78</v>
      </c>
      <c r="E171" t="str">
        <f>VLOOKUP(D171,Products!$A:$B,2,FALSE)</f>
        <v>Fresh Elaichi (Cardamom) Instant Tea Premix</v>
      </c>
      <c r="F171" t="str">
        <f ca="1">INDEX({"W101","W102","W103","W104"},RANDBETWEEN(1,4))</f>
        <v>W103</v>
      </c>
      <c r="G171">
        <v>199</v>
      </c>
      <c r="H171">
        <f>VLOOKUP(D171,Products!$A:$F,5,FALSE)</f>
        <v>210</v>
      </c>
      <c r="I171">
        <f t="shared" si="8"/>
        <v>41790</v>
      </c>
      <c r="J171" t="str">
        <f ca="1">INDEX({"Delivered","Delayed"},RANDBETWEEN(1,2))</f>
        <v>Delivered</v>
      </c>
    </row>
    <row r="172" spans="1:10" x14ac:dyDescent="0.25">
      <c r="A172" t="str">
        <f t="shared" ca="1" si="6"/>
        <v>NYC3Z5UY</v>
      </c>
      <c r="B172" s="11">
        <v>45762</v>
      </c>
      <c r="C172" s="12" t="str">
        <f t="shared" si="7"/>
        <v>Apr</v>
      </c>
      <c r="D172" t="s">
        <v>80</v>
      </c>
      <c r="E172" t="str">
        <f>VLOOKUP(D172,Products!$A:$B,2,FALSE)</f>
        <v>Fresh Refreshing Lemon Ice Tea Mix</v>
      </c>
      <c r="F172" t="str">
        <f ca="1">INDEX({"W101","W102","W103","W104"},RANDBETWEEN(1,4))</f>
        <v>W103</v>
      </c>
      <c r="G172">
        <v>92</v>
      </c>
      <c r="H172">
        <f>VLOOKUP(D172,Products!$A:$F,5,FALSE)</f>
        <v>150</v>
      </c>
      <c r="I172">
        <f t="shared" si="8"/>
        <v>13800</v>
      </c>
      <c r="J172" t="str">
        <f ca="1">INDEX({"Delivered","Delayed"},RANDBETWEEN(1,2))</f>
        <v>Delivered</v>
      </c>
    </row>
    <row r="173" spans="1:10" x14ac:dyDescent="0.25">
      <c r="A173" t="str">
        <f t="shared" ca="1" si="6"/>
        <v>UVIU9IH8</v>
      </c>
      <c r="B173" s="11">
        <v>45982</v>
      </c>
      <c r="C173" s="12" t="str">
        <f t="shared" si="7"/>
        <v>Nov</v>
      </c>
      <c r="D173" t="s">
        <v>82</v>
      </c>
      <c r="E173" t="str">
        <f>VLOOKUP(D173,Products!$A:$B,2,FALSE)</f>
        <v>Purely Organic Himalayan Green Tea (Whole Leaf)</v>
      </c>
      <c r="F173" t="str">
        <f ca="1">INDEX({"W101","W102","W103","W104"},RANDBETWEEN(1,4))</f>
        <v>W104</v>
      </c>
      <c r="G173">
        <v>166</v>
      </c>
      <c r="H173">
        <f>VLOOKUP(D173,Products!$A:$F,5,FALSE)</f>
        <v>349</v>
      </c>
      <c r="I173">
        <f t="shared" si="8"/>
        <v>57934</v>
      </c>
      <c r="J173" t="str">
        <f ca="1">INDEX({"Delivered","Delayed"},RANDBETWEEN(1,2))</f>
        <v>Delivered</v>
      </c>
    </row>
    <row r="174" spans="1:10" x14ac:dyDescent="0.25">
      <c r="A174" t="str">
        <f t="shared" ca="1" si="6"/>
        <v>TPEBX6IU</v>
      </c>
      <c r="B174" s="11">
        <v>45822</v>
      </c>
      <c r="C174" s="12" t="str">
        <f t="shared" si="7"/>
        <v>Jun</v>
      </c>
      <c r="D174" t="s">
        <v>84</v>
      </c>
      <c r="E174" t="str">
        <f>VLOOKUP(D174,Products!$A:$B,2,FALSE)</f>
        <v>Purely Soothing Chamomile &amp; Lavender Herbal Tea Infusion</v>
      </c>
      <c r="F174" t="str">
        <f ca="1">INDEX({"W101","W102","W103","W104"},RANDBETWEEN(1,4))</f>
        <v>W102</v>
      </c>
      <c r="G174">
        <v>76</v>
      </c>
      <c r="H174">
        <f>VLOOKUP(D174,Products!$A:$F,5,FALSE)</f>
        <v>399</v>
      </c>
      <c r="I174">
        <f t="shared" si="8"/>
        <v>30324</v>
      </c>
      <c r="J174" t="str">
        <f ca="1">INDEX({"Delivered","Delayed"},RANDBETWEEN(1,2))</f>
        <v>Delayed</v>
      </c>
    </row>
    <row r="175" spans="1:10" x14ac:dyDescent="0.25">
      <c r="A175" t="str">
        <f t="shared" ca="1" si="6"/>
        <v>HIZY9MS4</v>
      </c>
      <c r="B175" s="11">
        <v>45801</v>
      </c>
      <c r="C175" s="12" t="str">
        <f t="shared" si="7"/>
        <v>May</v>
      </c>
      <c r="D175" t="s">
        <v>86</v>
      </c>
      <c r="E175" t="str">
        <f>VLOOKUP(D175,Products!$A:$B,2,FALSE)</f>
        <v>Purely Detox Matcha Tea Powder</v>
      </c>
      <c r="F175" t="str">
        <f ca="1">INDEX({"W101","W102","W103","W104"},RANDBETWEEN(1,4))</f>
        <v>W101</v>
      </c>
      <c r="G175">
        <v>196</v>
      </c>
      <c r="H175">
        <f>VLOOKUP(D175,Products!$A:$F,5,FALSE)</f>
        <v>599</v>
      </c>
      <c r="I175">
        <f t="shared" si="8"/>
        <v>117404</v>
      </c>
      <c r="J175" t="str">
        <f ca="1">INDEX({"Delivered","Delayed"},RANDBETWEEN(1,2))</f>
        <v>Delayed</v>
      </c>
    </row>
    <row r="176" spans="1:10" x14ac:dyDescent="0.25">
      <c r="A176" t="str">
        <f t="shared" ca="1" si="6"/>
        <v>6XB55HLK</v>
      </c>
      <c r="B176" s="11">
        <v>45748</v>
      </c>
      <c r="C176" s="12" t="str">
        <f t="shared" si="7"/>
        <v>Apr</v>
      </c>
      <c r="D176" t="s">
        <v>4</v>
      </c>
      <c r="E176" t="str">
        <f>VLOOKUP(D176,Products!$A:$B,2,FALSE)</f>
        <v>Fresh Anti-Dandruff Cool Mint Shampoo</v>
      </c>
      <c r="F176" t="str">
        <f ca="1">INDEX({"W101","W102","W103","W104"},RANDBETWEEN(1,4))</f>
        <v>W103</v>
      </c>
      <c r="G176">
        <v>182</v>
      </c>
      <c r="H176">
        <f>VLOOKUP(D176,Products!$A:$F,5,FALSE)</f>
        <v>199</v>
      </c>
      <c r="I176">
        <f t="shared" si="8"/>
        <v>36218</v>
      </c>
      <c r="J176" t="str">
        <f ca="1">INDEX({"Delivered","Delayed"},RANDBETWEEN(1,2))</f>
        <v>Delivered</v>
      </c>
    </row>
    <row r="177" spans="1:10" x14ac:dyDescent="0.25">
      <c r="A177" t="str">
        <f t="shared" ca="1" si="6"/>
        <v>OIPRS7S4</v>
      </c>
      <c r="B177" s="11">
        <v>45679</v>
      </c>
      <c r="C177" s="12" t="str">
        <f t="shared" si="7"/>
        <v>Jan</v>
      </c>
      <c r="D177" t="s">
        <v>7</v>
      </c>
      <c r="E177" t="str">
        <f>VLOOKUP(D177,Products!$A:$B,2,FALSE)</f>
        <v>Fresh Smooth &amp; Shiny Daily Silky Shampoo</v>
      </c>
      <c r="F177" t="str">
        <f ca="1">INDEX({"W101","W102","W103","W104"},RANDBETWEEN(1,4))</f>
        <v>W104</v>
      </c>
      <c r="G177">
        <v>166</v>
      </c>
      <c r="H177">
        <f>VLOOKUP(D177,Products!$A:$F,5,FALSE)</f>
        <v>185</v>
      </c>
      <c r="I177">
        <f t="shared" si="8"/>
        <v>30710</v>
      </c>
      <c r="J177" t="str">
        <f ca="1">INDEX({"Delivered","Delayed"},RANDBETWEEN(1,2))</f>
        <v>Delivered</v>
      </c>
    </row>
    <row r="178" spans="1:10" x14ac:dyDescent="0.25">
      <c r="A178" t="str">
        <f t="shared" ca="1" si="6"/>
        <v>SXFLMAFV</v>
      </c>
      <c r="B178" s="11">
        <v>45734</v>
      </c>
      <c r="C178" s="12" t="str">
        <f t="shared" si="7"/>
        <v>Mar</v>
      </c>
      <c r="D178" t="s">
        <v>9</v>
      </c>
      <c r="E178" t="str">
        <f>VLOOKUP(D178,Products!$A:$B,2,FALSE)</f>
        <v>Fresh 2-in-1 Shampoo + Conditioner for Kids (Mango Flavor)</v>
      </c>
      <c r="F178" t="str">
        <f ca="1">INDEX({"W101","W102","W103","W104"},RANDBETWEEN(1,4))</f>
        <v>W104</v>
      </c>
      <c r="G178">
        <v>80</v>
      </c>
      <c r="H178">
        <f>VLOOKUP(D178,Products!$A:$F,5,FALSE)</f>
        <v>225</v>
      </c>
      <c r="I178">
        <f t="shared" si="8"/>
        <v>18000</v>
      </c>
      <c r="J178" t="str">
        <f ca="1">INDEX({"Delivered","Delayed"},RANDBETWEEN(1,2))</f>
        <v>Delayed</v>
      </c>
    </row>
    <row r="179" spans="1:10" x14ac:dyDescent="0.25">
      <c r="A179" t="str">
        <f t="shared" ca="1" si="6"/>
        <v>47D0OUNJ</v>
      </c>
      <c r="B179" s="11">
        <v>45953</v>
      </c>
      <c r="C179" s="12" t="str">
        <f t="shared" si="7"/>
        <v>Oct</v>
      </c>
      <c r="D179" t="s">
        <v>11</v>
      </c>
      <c r="E179" t="str">
        <f>VLOOKUP(D179,Products!$A:$B,2,FALSE)</f>
        <v>Purely Apple Cider Vinegar Hair Therapy Shampoo</v>
      </c>
      <c r="F179" t="str">
        <f ca="1">INDEX({"W101","W102","W103","W104"},RANDBETWEEN(1,4))</f>
        <v>W102</v>
      </c>
      <c r="G179">
        <v>168</v>
      </c>
      <c r="H179">
        <f>VLOOKUP(D179,Products!$A:$F,5,FALSE)</f>
        <v>399</v>
      </c>
      <c r="I179">
        <f t="shared" si="8"/>
        <v>67032</v>
      </c>
      <c r="J179" t="str">
        <f ca="1">INDEX({"Delivered","Delayed"},RANDBETWEEN(1,2))</f>
        <v>Delivered</v>
      </c>
    </row>
    <row r="180" spans="1:10" x14ac:dyDescent="0.25">
      <c r="A180" t="str">
        <f t="shared" ca="1" si="6"/>
        <v>OAVABOLW</v>
      </c>
      <c r="B180" s="11">
        <v>45714</v>
      </c>
      <c r="C180" s="12" t="str">
        <f t="shared" si="7"/>
        <v>Feb</v>
      </c>
      <c r="D180" t="s">
        <v>13</v>
      </c>
      <c r="E180" t="str">
        <f>VLOOKUP(D180,Products!$A:$B,2,FALSE)</f>
        <v>Purely Argan Oil &amp; Moroccan Clay Repair Shampoo</v>
      </c>
      <c r="F180" t="str">
        <f ca="1">INDEX({"W101","W102","W103","W104"},RANDBETWEEN(1,4))</f>
        <v>W101</v>
      </c>
      <c r="G180">
        <v>97</v>
      </c>
      <c r="H180">
        <f>VLOOKUP(D180,Products!$A:$F,5,FALSE)</f>
        <v>449</v>
      </c>
      <c r="I180">
        <f t="shared" si="8"/>
        <v>43553</v>
      </c>
      <c r="J180" t="str">
        <f ca="1">INDEX({"Delivered","Delayed"},RANDBETWEEN(1,2))</f>
        <v>Delayed</v>
      </c>
    </row>
    <row r="181" spans="1:10" x14ac:dyDescent="0.25">
      <c r="A181" t="str">
        <f t="shared" ca="1" si="6"/>
        <v>MVVA90I4</v>
      </c>
      <c r="B181" s="11">
        <v>45972</v>
      </c>
      <c r="C181" s="12" t="str">
        <f t="shared" si="7"/>
        <v>Nov</v>
      </c>
      <c r="D181" t="s">
        <v>15</v>
      </c>
      <c r="E181" t="str">
        <f>VLOOKUP(D181,Products!$A:$B,2,FALSE)</f>
        <v>Purely Activated Charcoal Deep Cleanse Men’s Shampoo</v>
      </c>
      <c r="F181" t="str">
        <f ca="1">INDEX({"W101","W102","W103","W104"},RANDBETWEEN(1,4))</f>
        <v>W104</v>
      </c>
      <c r="G181">
        <v>25</v>
      </c>
      <c r="H181">
        <f>VLOOKUP(D181,Products!$A:$F,5,FALSE)</f>
        <v>349</v>
      </c>
      <c r="I181">
        <f t="shared" si="8"/>
        <v>8725</v>
      </c>
      <c r="J181" t="str">
        <f ca="1">INDEX({"Delivered","Delayed"},RANDBETWEEN(1,2))</f>
        <v>Delivered</v>
      </c>
    </row>
    <row r="182" spans="1:10" x14ac:dyDescent="0.25">
      <c r="A182" t="str">
        <f t="shared" ca="1" si="6"/>
        <v>DHCFJAV0</v>
      </c>
      <c r="B182" s="11">
        <v>45806</v>
      </c>
      <c r="C182" s="12" t="str">
        <f t="shared" si="7"/>
        <v>May</v>
      </c>
      <c r="D182" t="s">
        <v>17</v>
      </c>
      <c r="E182" t="str">
        <f>VLOOKUP(D182,Products!$A:$B,2,FALSE)</f>
        <v>Purely Fragrance-Free Ultra-Mild Sensitive Scalp Shampoo</v>
      </c>
      <c r="F182" t="str">
        <f ca="1">INDEX({"W101","W102","W103","W104"},RANDBETWEEN(1,4))</f>
        <v>W101</v>
      </c>
      <c r="G182">
        <v>85</v>
      </c>
      <c r="H182">
        <f>VLOOKUP(D182,Products!$A:$F,5,FALSE)</f>
        <v>375</v>
      </c>
      <c r="I182">
        <f t="shared" si="8"/>
        <v>31875</v>
      </c>
      <c r="J182" t="str">
        <f ca="1">INDEX({"Delivered","Delayed"},RANDBETWEEN(1,2))</f>
        <v>Delayed</v>
      </c>
    </row>
    <row r="183" spans="1:10" x14ac:dyDescent="0.25">
      <c r="A183" t="str">
        <f t="shared" ca="1" si="6"/>
        <v>H8SBGSTA</v>
      </c>
      <c r="B183" s="11">
        <v>45842</v>
      </c>
      <c r="C183" s="12" t="str">
        <f t="shared" si="7"/>
        <v>Jul</v>
      </c>
      <c r="D183" t="s">
        <v>19</v>
      </c>
      <c r="E183" t="str">
        <f>VLOOKUP(D183,Products!$A:$B,2,FALSE)</f>
        <v>Fresh Vitamin E &amp; Aloe Vera Moisturizing Bar</v>
      </c>
      <c r="F183" t="str">
        <f ca="1">INDEX({"W101","W102","W103","W104"},RANDBETWEEN(1,4))</f>
        <v>W104</v>
      </c>
      <c r="G183">
        <v>131</v>
      </c>
      <c r="H183">
        <f>VLOOKUP(D183,Products!$A:$F,5,FALSE)</f>
        <v>45</v>
      </c>
      <c r="I183">
        <f t="shared" si="8"/>
        <v>5895</v>
      </c>
      <c r="J183" t="str">
        <f ca="1">INDEX({"Delivered","Delayed"},RANDBETWEEN(1,2))</f>
        <v>Delayed</v>
      </c>
    </row>
    <row r="184" spans="1:10" x14ac:dyDescent="0.25">
      <c r="A184" t="str">
        <f t="shared" ca="1" si="6"/>
        <v>GTNARE9A</v>
      </c>
      <c r="B184" s="11">
        <v>45795</v>
      </c>
      <c r="C184" s="12" t="str">
        <f t="shared" si="7"/>
        <v>May</v>
      </c>
      <c r="D184" t="s">
        <v>21</v>
      </c>
      <c r="E184" t="str">
        <f>VLOOKUP(D184,Products!$A:$B,2,FALSE)</f>
        <v>Fresh Refreshing Lemon &amp; Neem Germ Protection Soap</v>
      </c>
      <c r="F184" t="str">
        <f ca="1">INDEX({"W101","W102","W103","W104"},RANDBETWEEN(1,4))</f>
        <v>W102</v>
      </c>
      <c r="G184">
        <v>47</v>
      </c>
      <c r="H184">
        <f>VLOOKUP(D184,Products!$A:$F,5,FALSE)</f>
        <v>40</v>
      </c>
      <c r="I184">
        <f t="shared" si="8"/>
        <v>1880</v>
      </c>
      <c r="J184" t="str">
        <f ca="1">INDEX({"Delivered","Delayed"},RANDBETWEEN(1,2))</f>
        <v>Delivered</v>
      </c>
    </row>
    <row r="185" spans="1:10" x14ac:dyDescent="0.25">
      <c r="A185" t="str">
        <f t="shared" ca="1" si="6"/>
        <v>9TCFSWQT</v>
      </c>
      <c r="B185" s="11">
        <v>45927</v>
      </c>
      <c r="C185" s="12" t="str">
        <f t="shared" si="7"/>
        <v>Sep</v>
      </c>
      <c r="D185" t="s">
        <v>23</v>
      </c>
      <c r="E185" t="str">
        <f>VLOOKUP(D185,Products!$A:$B,2,FALSE)</f>
        <v>Fresh Rose Petal Cream Bathing Bar</v>
      </c>
      <c r="F185" t="str">
        <f ca="1">INDEX({"W101","W102","W103","W104"},RANDBETWEEN(1,4))</f>
        <v>W102</v>
      </c>
      <c r="G185">
        <v>109</v>
      </c>
      <c r="H185">
        <f>VLOOKUP(D185,Products!$A:$F,5,FALSE)</f>
        <v>45</v>
      </c>
      <c r="I185">
        <f t="shared" si="8"/>
        <v>4905</v>
      </c>
      <c r="J185" t="str">
        <f ca="1">INDEX({"Delivered","Delayed"},RANDBETWEEN(1,2))</f>
        <v>Delayed</v>
      </c>
    </row>
    <row r="186" spans="1:10" x14ac:dyDescent="0.25">
      <c r="A186" t="str">
        <f t="shared" ca="1" si="6"/>
        <v>FN5NZ79O</v>
      </c>
      <c r="B186" s="11">
        <v>45962</v>
      </c>
      <c r="C186" s="12" t="str">
        <f t="shared" si="7"/>
        <v>Nov</v>
      </c>
      <c r="D186" t="s">
        <v>25</v>
      </c>
      <c r="E186" t="str">
        <f>VLOOKUP(D186,Products!$A:$B,2,FALSE)</f>
        <v>Purely Handcrafted Oatmeal &amp; Honey Exfoliating Scrub Soap</v>
      </c>
      <c r="F186" t="str">
        <f ca="1">INDEX({"W101","W102","W103","W104"},RANDBETWEEN(1,4))</f>
        <v>W102</v>
      </c>
      <c r="G186">
        <v>38</v>
      </c>
      <c r="H186">
        <f>VLOOKUP(D186,Products!$A:$F,5,FALSE)</f>
        <v>125</v>
      </c>
      <c r="I186">
        <f t="shared" si="8"/>
        <v>4750</v>
      </c>
      <c r="J186" t="str">
        <f ca="1">INDEX({"Delivered","Delayed"},RANDBETWEEN(1,2))</f>
        <v>Delivered</v>
      </c>
    </row>
    <row r="187" spans="1:10" x14ac:dyDescent="0.25">
      <c r="A187" t="str">
        <f t="shared" ca="1" si="6"/>
        <v>1V6251KD</v>
      </c>
      <c r="B187" s="11">
        <v>45890</v>
      </c>
      <c r="C187" s="12" t="str">
        <f t="shared" si="7"/>
        <v>Aug</v>
      </c>
      <c r="D187" t="s">
        <v>27</v>
      </c>
      <c r="E187" t="str">
        <f>VLOOKUP(D187,Products!$A:$B,2,FALSE)</f>
        <v>Purely Tea Tree &amp; Salicylic Acid Acne-Control Bar</v>
      </c>
      <c r="F187" t="str">
        <f ca="1">INDEX({"W101","W102","W103","W104"},RANDBETWEEN(1,4))</f>
        <v>W102</v>
      </c>
      <c r="G187">
        <v>139</v>
      </c>
      <c r="H187">
        <f>VLOOKUP(D187,Products!$A:$F,5,FALSE)</f>
        <v>140</v>
      </c>
      <c r="I187">
        <f t="shared" si="8"/>
        <v>19460</v>
      </c>
      <c r="J187" t="str">
        <f ca="1">INDEX({"Delivered","Delayed"},RANDBETWEEN(1,2))</f>
        <v>Delivered</v>
      </c>
    </row>
    <row r="188" spans="1:10" x14ac:dyDescent="0.25">
      <c r="A188" t="str">
        <f t="shared" ca="1" si="6"/>
        <v>Z92U8IW5</v>
      </c>
      <c r="B188" s="11">
        <v>45983</v>
      </c>
      <c r="C188" s="12" t="str">
        <f t="shared" si="7"/>
        <v>Nov</v>
      </c>
      <c r="D188" t="s">
        <v>29</v>
      </c>
      <c r="E188" t="str">
        <f>VLOOKUP(D188,Products!$A:$B,2,FALSE)</f>
        <v>Fresh Lemon Power Detergent Powder (Tough Stain Remover)</v>
      </c>
      <c r="F188" t="str">
        <f ca="1">INDEX({"W101","W102","W103","W104"},RANDBETWEEN(1,4))</f>
        <v>W103</v>
      </c>
      <c r="G188">
        <v>115</v>
      </c>
      <c r="H188">
        <f>VLOOKUP(D188,Products!$A:$F,5,FALSE)</f>
        <v>149</v>
      </c>
      <c r="I188">
        <f t="shared" si="8"/>
        <v>17135</v>
      </c>
      <c r="J188" t="str">
        <f ca="1">INDEX({"Delivered","Delayed"},RANDBETWEEN(1,2))</f>
        <v>Delivered</v>
      </c>
    </row>
    <row r="189" spans="1:10" x14ac:dyDescent="0.25">
      <c r="A189" t="str">
        <f t="shared" ca="1" si="6"/>
        <v>X4AVYV2Z</v>
      </c>
      <c r="B189" s="11">
        <v>45838</v>
      </c>
      <c r="C189" s="12" t="str">
        <f t="shared" si="7"/>
        <v>Jun</v>
      </c>
      <c r="D189" t="s">
        <v>32</v>
      </c>
      <c r="E189" t="str">
        <f>VLOOKUP(D189,Products!$A:$B,2,FALSE)</f>
        <v>Fresh Lavender Fields Liquid Detergent (Front &amp; Top Load)</v>
      </c>
      <c r="F189" t="str">
        <f ca="1">INDEX({"W101","W102","W103","W104"},RANDBETWEEN(1,4))</f>
        <v>W104</v>
      </c>
      <c r="G189">
        <v>49</v>
      </c>
      <c r="H189">
        <f>VLOOKUP(D189,Products!$A:$F,5,FALSE)</f>
        <v>249</v>
      </c>
      <c r="I189">
        <f t="shared" si="8"/>
        <v>12201</v>
      </c>
      <c r="J189" t="str">
        <f ca="1">INDEX({"Delivered","Delayed"},RANDBETWEEN(1,2))</f>
        <v>Delayed</v>
      </c>
    </row>
    <row r="190" spans="1:10" x14ac:dyDescent="0.25">
      <c r="A190" t="str">
        <f t="shared" ca="1" si="6"/>
        <v>8DGP5TR9</v>
      </c>
      <c r="B190" s="11">
        <v>45901</v>
      </c>
      <c r="C190" s="12" t="str">
        <f t="shared" si="7"/>
        <v>Sep</v>
      </c>
      <c r="D190" t="s">
        <v>34</v>
      </c>
      <c r="E190" t="str">
        <f>VLOOKUP(D190,Products!$A:$B,2,FALSE)</f>
        <v>Fresh Fabric Conditioner &amp; Softener (Morning Dew)</v>
      </c>
      <c r="F190" t="str">
        <f ca="1">INDEX({"W101","W102","W103","W104"},RANDBETWEEN(1,4))</f>
        <v>W102</v>
      </c>
      <c r="G190">
        <v>128</v>
      </c>
      <c r="H190">
        <f>VLOOKUP(D190,Products!$A:$F,5,FALSE)</f>
        <v>180</v>
      </c>
      <c r="I190">
        <f t="shared" si="8"/>
        <v>23040</v>
      </c>
      <c r="J190" t="str">
        <f ca="1">INDEX({"Delivered","Delayed"},RANDBETWEEN(1,2))</f>
        <v>Delayed</v>
      </c>
    </row>
    <row r="191" spans="1:10" x14ac:dyDescent="0.25">
      <c r="A191" t="str">
        <f t="shared" ca="1" si="6"/>
        <v>XCFG2ND6</v>
      </c>
      <c r="B191" s="11">
        <v>45786</v>
      </c>
      <c r="C191" s="12" t="str">
        <f t="shared" si="7"/>
        <v>May</v>
      </c>
      <c r="D191" t="s">
        <v>36</v>
      </c>
      <c r="E191" t="str">
        <f>VLOOKUP(D191,Products!$A:$B,2,FALSE)</f>
        <v>Purely Plant-Based Baby Laundry Detergent (Hypoallergenic)</v>
      </c>
      <c r="F191" t="str">
        <f ca="1">INDEX({"W101","W102","W103","W104"},RANDBETWEEN(1,4))</f>
        <v>W102</v>
      </c>
      <c r="G191">
        <v>113</v>
      </c>
      <c r="H191">
        <f>VLOOKUP(D191,Products!$A:$F,5,FALSE)</f>
        <v>425</v>
      </c>
      <c r="I191">
        <f t="shared" si="8"/>
        <v>48025</v>
      </c>
      <c r="J191" t="str">
        <f ca="1">INDEX({"Delivered","Delayed"},RANDBETWEEN(1,2))</f>
        <v>Delivered</v>
      </c>
    </row>
    <row r="192" spans="1:10" x14ac:dyDescent="0.25">
      <c r="A192" t="str">
        <f t="shared" ca="1" si="6"/>
        <v>W73EIMCN</v>
      </c>
      <c r="B192" s="11">
        <v>45975</v>
      </c>
      <c r="C192" s="12" t="str">
        <f t="shared" si="7"/>
        <v>Nov</v>
      </c>
      <c r="D192" t="s">
        <v>38</v>
      </c>
      <c r="E192" t="str">
        <f>VLOOKUP(D192,Products!$A:$B,2,FALSE)</f>
        <v>Purely Eucalyptus Eco-Friendly Detergent Sheets</v>
      </c>
      <c r="F192" t="str">
        <f ca="1">INDEX({"W101","W102","W103","W104"},RANDBETWEEN(1,4))</f>
        <v>W102</v>
      </c>
      <c r="G192">
        <v>139</v>
      </c>
      <c r="H192">
        <f>VLOOKUP(D192,Products!$A:$F,5,FALSE)</f>
        <v>399</v>
      </c>
      <c r="I192">
        <f t="shared" si="8"/>
        <v>55461</v>
      </c>
      <c r="J192" t="str">
        <f ca="1">INDEX({"Delivered","Delayed"},RANDBETWEEN(1,2))</f>
        <v>Delivered</v>
      </c>
    </row>
    <row r="193" spans="1:10" x14ac:dyDescent="0.25">
      <c r="A193" t="str">
        <f t="shared" ca="1" si="6"/>
        <v>YP2LY19Z</v>
      </c>
      <c r="B193" s="11">
        <v>45831</v>
      </c>
      <c r="C193" s="12" t="str">
        <f t="shared" si="7"/>
        <v>Jun</v>
      </c>
      <c r="D193" t="s">
        <v>40</v>
      </c>
      <c r="E193" t="str">
        <f>VLOOKUP(D193,Products!$A:$B,2,FALSE)</f>
        <v>Purely Bio-Enzyme Liquid Detergent for Delicate Fabrics (Silk/Wool)</v>
      </c>
      <c r="F193" t="str">
        <f ca="1">INDEX({"W101","W102","W103","W104"},RANDBETWEEN(1,4))</f>
        <v>W102</v>
      </c>
      <c r="G193">
        <v>174</v>
      </c>
      <c r="H193">
        <f>VLOOKUP(D193,Products!$A:$F,5,FALSE)</f>
        <v>499</v>
      </c>
      <c r="I193">
        <f t="shared" si="8"/>
        <v>86826</v>
      </c>
      <c r="J193" t="str">
        <f ca="1">INDEX({"Delivered","Delayed"},RANDBETWEEN(1,2))</f>
        <v>Delayed</v>
      </c>
    </row>
    <row r="194" spans="1:10" x14ac:dyDescent="0.25">
      <c r="A194" t="str">
        <f t="shared" ref="A194:A205" ca="1" si="9">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&amp;MID("0123456789ABCDEFGHIJKLMNOPQRSTUVWXYZ",RANDBETWEEN(1,36),1)</f>
        <v>NY3TZR43</v>
      </c>
      <c r="B194" s="11">
        <v>45687</v>
      </c>
      <c r="C194" s="12" t="str">
        <f t="shared" ref="C194:C205" si="10">TEXT(B194,"mmm")</f>
        <v>Jan</v>
      </c>
      <c r="D194" t="s">
        <v>42</v>
      </c>
      <c r="E194" t="str">
        <f>VLOOKUP(D194,Products!$A:$B,2,FALSE)</f>
        <v>Fresh Glucose Power Biscuits (Value Pack)</v>
      </c>
      <c r="F194" t="str">
        <f ca="1">INDEX({"W101","W102","W103","W104"},RANDBETWEEN(1,4))</f>
        <v>W104</v>
      </c>
      <c r="G194">
        <v>81</v>
      </c>
      <c r="H194">
        <f>VLOOKUP(D194,Products!$A:$F,5,FALSE)</f>
        <v>40</v>
      </c>
      <c r="I194">
        <f t="shared" ref="I194:I205" si="11">H194*G194</f>
        <v>3240</v>
      </c>
      <c r="J194" t="str">
        <f ca="1">INDEX({"Delivered","Delayed"},RANDBETWEEN(1,2))</f>
        <v>Delivered</v>
      </c>
    </row>
    <row r="195" spans="1:10" x14ac:dyDescent="0.25">
      <c r="A195" t="str">
        <f t="shared" ca="1" si="9"/>
        <v>VT9X3PH0</v>
      </c>
      <c r="B195" s="11">
        <v>45929</v>
      </c>
      <c r="C195" s="12" t="str">
        <f t="shared" si="10"/>
        <v>Sep</v>
      </c>
      <c r="D195" t="s">
        <v>45</v>
      </c>
      <c r="E195" t="str">
        <f>VLOOKUP(D195,Products!$A:$B,2,FALSE)</f>
        <v>Fresh Crunchy Choco-Chip Cookies</v>
      </c>
      <c r="F195" t="str">
        <f ca="1">INDEX({"W101","W102","W103","W104"},RANDBETWEEN(1,4))</f>
        <v>W102</v>
      </c>
      <c r="G195">
        <v>113</v>
      </c>
      <c r="H195">
        <f>VLOOKUP(D195,Products!$A:$F,5,FALSE)</f>
        <v>60</v>
      </c>
      <c r="I195">
        <f t="shared" si="11"/>
        <v>6780</v>
      </c>
      <c r="J195" t="str">
        <f ca="1">INDEX({"Delivered","Delayed"},RANDBETWEEN(1,2))</f>
        <v>Delivered</v>
      </c>
    </row>
    <row r="196" spans="1:10" x14ac:dyDescent="0.25">
      <c r="A196" t="str">
        <f t="shared" ca="1" si="9"/>
        <v>JPE13YMA</v>
      </c>
      <c r="B196" s="11">
        <v>45929</v>
      </c>
      <c r="C196" s="12" t="str">
        <f t="shared" si="10"/>
        <v>Sep</v>
      </c>
      <c r="D196" t="s">
        <v>47</v>
      </c>
      <c r="E196" t="str">
        <f>VLOOKUP(D196,Products!$A:$B,2,FALSE)</f>
        <v>Purely 100% Whole Wheat Digestives (Zero Sugar added)</v>
      </c>
      <c r="F196" t="str">
        <f ca="1">INDEX({"W101","W102","W103","W104"},RANDBETWEEN(1,4))</f>
        <v>W103</v>
      </c>
      <c r="G196">
        <v>88</v>
      </c>
      <c r="H196">
        <f>VLOOKUP(D196,Products!$A:$F,5,FALSE)</f>
        <v>120</v>
      </c>
      <c r="I196">
        <f t="shared" si="11"/>
        <v>10560</v>
      </c>
      <c r="J196" t="str">
        <f ca="1">INDEX({"Delivered","Delayed"},RANDBETWEEN(1,2))</f>
        <v>Delayed</v>
      </c>
    </row>
    <row r="197" spans="1:10" x14ac:dyDescent="0.25">
      <c r="A197" t="str">
        <f t="shared" ca="1" si="9"/>
        <v>ZX9OCWBW</v>
      </c>
      <c r="B197" s="11">
        <v>45928</v>
      </c>
      <c r="C197" s="12" t="str">
        <f t="shared" si="10"/>
        <v>Sep</v>
      </c>
      <c r="D197" t="s">
        <v>49</v>
      </c>
      <c r="E197" t="str">
        <f>VLOOKUP(D197,Products!$A:$B,2,FALSE)</f>
        <v>Purely Almond &amp; Chia Seed Millet Oats Biscuits</v>
      </c>
      <c r="F197" t="str">
        <f ca="1">INDEX({"W101","W102","W103","W104"},RANDBETWEEN(1,4))</f>
        <v>W102</v>
      </c>
      <c r="G197">
        <v>106</v>
      </c>
      <c r="H197">
        <f>VLOOKUP(D197,Products!$A:$F,5,FALSE)</f>
        <v>149</v>
      </c>
      <c r="I197">
        <f t="shared" si="11"/>
        <v>15794</v>
      </c>
      <c r="J197" t="str">
        <f ca="1">INDEX({"Delivered","Delayed"},RANDBETWEEN(1,2))</f>
        <v>Delayed</v>
      </c>
    </row>
    <row r="198" spans="1:10" x14ac:dyDescent="0.25">
      <c r="A198" t="str">
        <f t="shared" ca="1" si="9"/>
        <v>NSR7F2RX</v>
      </c>
      <c r="B198" s="11">
        <v>45784</v>
      </c>
      <c r="C198" s="12" t="str">
        <f t="shared" si="10"/>
        <v>May</v>
      </c>
      <c r="D198" t="s">
        <v>51</v>
      </c>
      <c r="E198" t="str">
        <f>VLOOKUP(D198,Products!$A:$B,2,FALSE)</f>
        <v>Purely Keto-Friendly Coconut Flour Cookies</v>
      </c>
      <c r="F198" t="str">
        <f ca="1">INDEX({"W101","W102","W103","W104"},RANDBETWEEN(1,4))</f>
        <v>W104</v>
      </c>
      <c r="G198">
        <v>177</v>
      </c>
      <c r="H198">
        <f>VLOOKUP(D198,Products!$A:$F,5,FALSE)</f>
        <v>220</v>
      </c>
      <c r="I198">
        <f t="shared" si="11"/>
        <v>38940</v>
      </c>
      <c r="J198" t="str">
        <f ca="1">INDEX({"Delivered","Delayed"},RANDBETWEEN(1,2))</f>
        <v>Delivered</v>
      </c>
    </row>
    <row r="199" spans="1:10" x14ac:dyDescent="0.25">
      <c r="A199" t="str">
        <f t="shared" ca="1" si="9"/>
        <v>XQXL1UWW</v>
      </c>
      <c r="B199" s="11">
        <v>45818</v>
      </c>
      <c r="C199" s="12" t="str">
        <f t="shared" si="10"/>
        <v>Jun</v>
      </c>
      <c r="D199" t="s">
        <v>53</v>
      </c>
      <c r="E199" t="str">
        <f>VLOOKUP(D199,Products!$A:$B,2,FALSE)</f>
        <v>Fresh Classic Salted Potato Chips (Party Pack)</v>
      </c>
      <c r="F199" t="str">
        <f ca="1">INDEX({"W101","W102","W103","W104"},RANDBETWEEN(1,4))</f>
        <v>W103</v>
      </c>
      <c r="G199">
        <v>128</v>
      </c>
      <c r="H199">
        <f>VLOOKUP(D199,Products!$A:$F,5,FALSE)</f>
        <v>50</v>
      </c>
      <c r="I199">
        <f t="shared" si="11"/>
        <v>6400</v>
      </c>
      <c r="J199" t="str">
        <f ca="1">INDEX({"Delivered","Delayed"},RANDBETWEEN(1,2))</f>
        <v>Delivered</v>
      </c>
    </row>
    <row r="200" spans="1:10" x14ac:dyDescent="0.25">
      <c r="A200" t="str">
        <f t="shared" ca="1" si="9"/>
        <v>FT8TFLS9</v>
      </c>
      <c r="B200" s="11">
        <v>45936</v>
      </c>
      <c r="C200" s="12" t="str">
        <f t="shared" si="10"/>
        <v>Oct</v>
      </c>
      <c r="D200" t="s">
        <v>55</v>
      </c>
      <c r="E200" t="str">
        <f>VLOOKUP(D200,Products!$A:$B,2,FALSE)</f>
        <v>Fresh Tangy Tomato Masala Potato Chips</v>
      </c>
      <c r="F200" t="str">
        <f ca="1">INDEX({"W101","W102","W103","W104"},RANDBETWEEN(1,4))</f>
        <v>W103</v>
      </c>
      <c r="G200">
        <v>51</v>
      </c>
      <c r="H200">
        <f>VLOOKUP(D200,Products!$A:$F,5,FALSE)</f>
        <v>30</v>
      </c>
      <c r="I200">
        <f t="shared" si="11"/>
        <v>1530</v>
      </c>
      <c r="J200" t="str">
        <f ca="1">INDEX({"Delivered","Delayed"},RANDBETWEEN(1,2))</f>
        <v>Delayed</v>
      </c>
    </row>
    <row r="201" spans="1:10" x14ac:dyDescent="0.25">
      <c r="A201" t="str">
        <f t="shared" ca="1" si="9"/>
        <v>4DHJWTVM</v>
      </c>
      <c r="B201" s="11">
        <v>45813</v>
      </c>
      <c r="C201" s="12" t="str">
        <f t="shared" si="10"/>
        <v>Jun</v>
      </c>
      <c r="D201" t="s">
        <v>57</v>
      </c>
      <c r="E201" t="str">
        <f>VLOOKUP(D201,Products!$A:$B,2,FALSE)</f>
        <v>Fresh Crunchy Peri-Peri Corn Puffs</v>
      </c>
      <c r="F201" t="str">
        <f ca="1">INDEX({"W101","W102","W103","W104"},RANDBETWEEN(1,4))</f>
        <v>W103</v>
      </c>
      <c r="G201">
        <v>85</v>
      </c>
      <c r="H201">
        <f>VLOOKUP(D201,Products!$A:$F,5,FALSE)</f>
        <v>45</v>
      </c>
      <c r="I201">
        <f t="shared" si="11"/>
        <v>3825</v>
      </c>
      <c r="J201" t="str">
        <f ca="1">INDEX({"Delivered","Delayed"},RANDBETWEEN(1,2))</f>
        <v>Delayed</v>
      </c>
    </row>
    <row r="202" spans="1:10" x14ac:dyDescent="0.25">
      <c r="A202" t="str">
        <f t="shared" ca="1" si="9"/>
        <v>6HFH684X</v>
      </c>
      <c r="B202" s="11">
        <v>45810</v>
      </c>
      <c r="C202" s="12" t="str">
        <f t="shared" si="10"/>
        <v>Jun</v>
      </c>
      <c r="D202" t="s">
        <v>59</v>
      </c>
      <c r="E202" t="str">
        <f>VLOOKUP(D202,Products!$A:$B,2,FALSE)</f>
        <v>Purely Vacuum-Fried Sweet Potato Chips</v>
      </c>
      <c r="F202" t="str">
        <f ca="1">INDEX({"W101","W102","W103","W104"},RANDBETWEEN(1,4))</f>
        <v>W104</v>
      </c>
      <c r="G202">
        <v>74</v>
      </c>
      <c r="H202">
        <f>VLOOKUP(D202,Products!$A:$F,5,FALSE)</f>
        <v>99</v>
      </c>
      <c r="I202">
        <f t="shared" si="11"/>
        <v>7326</v>
      </c>
      <c r="J202" t="str">
        <f ca="1">INDEX({"Delivered","Delayed"},RANDBETWEEN(1,2))</f>
        <v>Delivered</v>
      </c>
    </row>
    <row r="203" spans="1:10" x14ac:dyDescent="0.25">
      <c r="A203" t="str">
        <f t="shared" ca="1" si="9"/>
        <v>GF1GKJXP</v>
      </c>
      <c r="B203" s="11">
        <v>45965</v>
      </c>
      <c r="C203" s="12" t="str">
        <f t="shared" si="10"/>
        <v>Nov</v>
      </c>
      <c r="D203" t="s">
        <v>61</v>
      </c>
      <c r="E203" t="str">
        <f>VLOOKUP(D203,Products!$A:$B,2,FALSE)</f>
        <v>Purely Baked Quinoa Puffs (Sour Cream &amp; Onion)</v>
      </c>
      <c r="F203" t="str">
        <f ca="1">INDEX({"W101","W102","W103","W104"},RANDBETWEEN(1,4))</f>
        <v>W103</v>
      </c>
      <c r="G203">
        <v>115</v>
      </c>
      <c r="H203">
        <f>VLOOKUP(D203,Products!$A:$F,5,FALSE)</f>
        <v>115</v>
      </c>
      <c r="I203">
        <f t="shared" si="11"/>
        <v>13225</v>
      </c>
      <c r="J203" t="str">
        <f ca="1">INDEX({"Delivered","Delayed"},RANDBETWEEN(1,2))</f>
        <v>Delayed</v>
      </c>
    </row>
    <row r="204" spans="1:10" x14ac:dyDescent="0.25">
      <c r="A204" t="str">
        <f t="shared" ca="1" si="9"/>
        <v>7SXSR7EA</v>
      </c>
      <c r="B204" s="11">
        <v>45789</v>
      </c>
      <c r="C204" s="12" t="str">
        <f t="shared" si="10"/>
        <v>May</v>
      </c>
      <c r="D204" t="s">
        <v>63</v>
      </c>
      <c r="E204" t="str">
        <f>VLOOKUP(D204,Products!$A:$B,2,FALSE)</f>
        <v>Fresh 100% Pure Mixed Fruit Juice</v>
      </c>
      <c r="F204" t="str">
        <f ca="1">INDEX({"W101","W102","W103","W104"},RANDBETWEEN(1,4))</f>
        <v>W101</v>
      </c>
      <c r="G204">
        <v>26</v>
      </c>
      <c r="H204">
        <f>VLOOKUP(D204,Products!$A:$F,5,FALSE)</f>
        <v>125</v>
      </c>
      <c r="I204">
        <f t="shared" si="11"/>
        <v>3250</v>
      </c>
      <c r="J204" t="str">
        <f ca="1">INDEX({"Delivered","Delayed"},RANDBETWEEN(1,2))</f>
        <v>Delayed</v>
      </c>
    </row>
    <row r="205" spans="1:10" x14ac:dyDescent="0.25">
      <c r="A205" t="str">
        <f t="shared" ca="1" si="9"/>
        <v>ZR2QFRHQ</v>
      </c>
      <c r="B205" s="11">
        <v>45838</v>
      </c>
      <c r="C205" s="12" t="str">
        <f t="shared" si="10"/>
        <v>Jun</v>
      </c>
      <c r="D205" t="s">
        <v>66</v>
      </c>
      <c r="E205" t="str">
        <f>VLOOKUP(D205,Products!$A:$B,2,FALSE)</f>
        <v>Fresh Refreshing Alphonso Mango Drink</v>
      </c>
      <c r="F205" t="str">
        <f ca="1">INDEX({"W101","W102","W103","W104"},RANDBETWEEN(1,4))</f>
        <v>W102</v>
      </c>
      <c r="G205">
        <v>140</v>
      </c>
      <c r="H205">
        <f>VLOOKUP(D205,Products!$A:$F,5,FALSE)</f>
        <v>99</v>
      </c>
      <c r="I205">
        <f t="shared" si="11"/>
        <v>13860</v>
      </c>
      <c r="J205" t="str">
        <f ca="1">INDEX({"Delivered","Delayed"},RANDBETWEEN(1,2))</f>
        <v>Delivered</v>
      </c>
    </row>
  </sheetData>
  <autoFilter ref="A1:J20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workbookViewId="0">
      <selection activeCell="I12" sqref="I12"/>
    </sheetView>
  </sheetViews>
  <sheetFormatPr defaultRowHeight="15" x14ac:dyDescent="0.25"/>
  <cols>
    <col min="1" max="1" width="11.140625" style="8" customWidth="1"/>
    <col min="2" max="2" width="16.140625" style="8" customWidth="1"/>
    <col min="3" max="3" width="13.140625" style="8" customWidth="1"/>
    <col min="4" max="4" width="11.85546875" style="8" customWidth="1"/>
    <col min="5" max="5" width="13.85546875" style="8" customWidth="1"/>
    <col min="6" max="6" width="13.5703125" style="3" customWidth="1"/>
    <col min="7" max="7" width="15.140625" customWidth="1"/>
    <col min="8" max="8" width="16.85546875" customWidth="1"/>
    <col min="9" max="9" width="19.7109375" bestFit="1" customWidth="1"/>
    <col min="10" max="10" width="15.7109375" bestFit="1" customWidth="1"/>
  </cols>
  <sheetData>
    <row r="1" spans="1:10" x14ac:dyDescent="0.25">
      <c r="A1" s="7" t="s">
        <v>136</v>
      </c>
      <c r="B1" s="7" t="s">
        <v>137</v>
      </c>
      <c r="C1" s="7" t="s">
        <v>138</v>
      </c>
      <c r="D1" s="7" t="s">
        <v>139</v>
      </c>
      <c r="E1" s="7" t="s">
        <v>140</v>
      </c>
      <c r="F1" s="2" t="s">
        <v>271</v>
      </c>
      <c r="G1" s="7" t="s">
        <v>272</v>
      </c>
      <c r="H1" s="7" t="s">
        <v>273</v>
      </c>
      <c r="I1" s="15"/>
    </row>
    <row r="2" spans="1:10" x14ac:dyDescent="0.25">
      <c r="A2" t="s">
        <v>42</v>
      </c>
      <c r="B2" s="1" t="s">
        <v>122</v>
      </c>
      <c r="C2">
        <v>150</v>
      </c>
      <c r="D2">
        <v>270</v>
      </c>
      <c r="E2">
        <v>212</v>
      </c>
      <c r="F2" s="3">
        <f>VLOOKUP(A:A,Products!A:F,6,FALSE)</f>
        <v>28</v>
      </c>
      <c r="G2">
        <f>C2*F2</f>
        <v>4200</v>
      </c>
      <c r="H2" t="str">
        <f>IF(C2&lt;D2,"High Risk","Safe")</f>
        <v>High Risk</v>
      </c>
    </row>
    <row r="3" spans="1:10" x14ac:dyDescent="0.25">
      <c r="A3" t="s">
        <v>86</v>
      </c>
      <c r="B3" s="1" t="s">
        <v>122</v>
      </c>
      <c r="C3">
        <v>150</v>
      </c>
      <c r="D3">
        <v>348</v>
      </c>
      <c r="E3">
        <v>314</v>
      </c>
      <c r="F3" s="3">
        <f>VLOOKUP(A:A,Products!A:F,6,FALSE)</f>
        <v>419.29999999999995</v>
      </c>
      <c r="G3" s="8">
        <f t="shared" ref="G3:G66" si="0">C3*F3</f>
        <v>62894.999999999993</v>
      </c>
      <c r="H3" s="8" t="str">
        <f t="shared" ref="H3:H66" si="1">IF(C3&lt;D3,"High Risk","Safe")</f>
        <v>High Risk</v>
      </c>
    </row>
    <row r="4" spans="1:10" x14ac:dyDescent="0.25">
      <c r="A4" t="s">
        <v>45</v>
      </c>
      <c r="B4" s="1" t="s">
        <v>120</v>
      </c>
      <c r="C4">
        <v>158</v>
      </c>
      <c r="D4">
        <v>333</v>
      </c>
      <c r="E4">
        <v>298</v>
      </c>
      <c r="F4" s="3">
        <f>VLOOKUP(A:A,Products!A:F,6,FALSE)</f>
        <v>42</v>
      </c>
      <c r="G4" s="8">
        <f t="shared" si="0"/>
        <v>6636</v>
      </c>
      <c r="H4" s="8" t="str">
        <f t="shared" si="1"/>
        <v>High Risk</v>
      </c>
    </row>
    <row r="5" spans="1:10" x14ac:dyDescent="0.25">
      <c r="A5" t="s">
        <v>63</v>
      </c>
      <c r="B5" s="1" t="s">
        <v>118</v>
      </c>
      <c r="C5">
        <v>160</v>
      </c>
      <c r="D5">
        <v>265</v>
      </c>
      <c r="E5">
        <v>486</v>
      </c>
      <c r="F5" s="3">
        <f>VLOOKUP(A:A,Products!A:F,6,FALSE)</f>
        <v>87.5</v>
      </c>
      <c r="G5" s="8">
        <f t="shared" si="0"/>
        <v>14000</v>
      </c>
      <c r="H5" s="8" t="str">
        <f t="shared" si="1"/>
        <v>High Risk</v>
      </c>
    </row>
    <row r="6" spans="1:10" x14ac:dyDescent="0.25">
      <c r="A6" t="s">
        <v>86</v>
      </c>
      <c r="B6" s="1" t="s">
        <v>120</v>
      </c>
      <c r="C6">
        <v>160</v>
      </c>
      <c r="D6">
        <v>281</v>
      </c>
      <c r="E6">
        <v>424</v>
      </c>
      <c r="F6" s="3">
        <f>VLOOKUP(A:A,Products!A:F,6,FALSE)</f>
        <v>419.29999999999995</v>
      </c>
      <c r="G6" s="8">
        <f t="shared" si="0"/>
        <v>67088</v>
      </c>
      <c r="H6" s="8" t="str">
        <f t="shared" si="1"/>
        <v>High Risk</v>
      </c>
    </row>
    <row r="7" spans="1:10" x14ac:dyDescent="0.25">
      <c r="A7" t="s">
        <v>29</v>
      </c>
      <c r="B7" s="1" t="s">
        <v>125</v>
      </c>
      <c r="C7">
        <v>163</v>
      </c>
      <c r="D7">
        <v>303</v>
      </c>
      <c r="E7">
        <v>280</v>
      </c>
      <c r="F7" s="3">
        <f>VLOOKUP(A:A,Products!A:F,6,FALSE)</f>
        <v>104.3</v>
      </c>
      <c r="G7" s="8">
        <f t="shared" si="0"/>
        <v>17000.899999999998</v>
      </c>
      <c r="H7" s="8" t="str">
        <f t="shared" si="1"/>
        <v>High Risk</v>
      </c>
    </row>
    <row r="8" spans="1:10" x14ac:dyDescent="0.25">
      <c r="A8" t="s">
        <v>15</v>
      </c>
      <c r="B8" s="1" t="s">
        <v>122</v>
      </c>
      <c r="C8">
        <v>167</v>
      </c>
      <c r="D8">
        <v>251</v>
      </c>
      <c r="E8">
        <v>308</v>
      </c>
      <c r="F8" s="3">
        <f>VLOOKUP(A:A,Products!A:F,6,FALSE)</f>
        <v>244.29999999999998</v>
      </c>
      <c r="G8" s="8">
        <f t="shared" si="0"/>
        <v>40798.1</v>
      </c>
      <c r="H8" s="8" t="str">
        <f t="shared" si="1"/>
        <v>High Risk</v>
      </c>
    </row>
    <row r="9" spans="1:10" x14ac:dyDescent="0.25">
      <c r="A9" t="s">
        <v>11</v>
      </c>
      <c r="B9" s="1" t="s">
        <v>118</v>
      </c>
      <c r="C9">
        <v>169</v>
      </c>
      <c r="D9">
        <v>312</v>
      </c>
      <c r="E9">
        <v>423</v>
      </c>
      <c r="F9" s="3">
        <f>VLOOKUP(A:A,Products!A:F,6,FALSE)</f>
        <v>279.29999999999995</v>
      </c>
      <c r="G9" s="8">
        <f t="shared" si="0"/>
        <v>47201.69999999999</v>
      </c>
      <c r="H9" s="8" t="str">
        <f t="shared" si="1"/>
        <v>High Risk</v>
      </c>
    </row>
    <row r="10" spans="1:10" x14ac:dyDescent="0.25">
      <c r="A10" t="s">
        <v>49</v>
      </c>
      <c r="B10" s="1" t="s">
        <v>120</v>
      </c>
      <c r="C10">
        <v>170</v>
      </c>
      <c r="D10">
        <v>272</v>
      </c>
      <c r="E10">
        <v>339</v>
      </c>
      <c r="F10" s="3">
        <f>VLOOKUP(A:A,Products!A:F,6,FALSE)</f>
        <v>104.3</v>
      </c>
      <c r="G10" s="8">
        <f t="shared" si="0"/>
        <v>17731</v>
      </c>
      <c r="H10" s="8" t="str">
        <f t="shared" si="1"/>
        <v>High Risk</v>
      </c>
      <c r="J10" s="3"/>
    </row>
    <row r="11" spans="1:10" x14ac:dyDescent="0.25">
      <c r="A11" t="s">
        <v>13</v>
      </c>
      <c r="B11" s="1" t="s">
        <v>122</v>
      </c>
      <c r="C11">
        <v>171</v>
      </c>
      <c r="D11">
        <v>323</v>
      </c>
      <c r="E11">
        <v>470</v>
      </c>
      <c r="F11" s="3">
        <f>VLOOKUP(A:A,Products!A:F,6,FALSE)</f>
        <v>314.29999999999995</v>
      </c>
      <c r="G11" s="8">
        <f t="shared" si="0"/>
        <v>53745.299999999996</v>
      </c>
      <c r="H11" s="8" t="str">
        <f t="shared" si="1"/>
        <v>High Risk</v>
      </c>
    </row>
    <row r="12" spans="1:10" x14ac:dyDescent="0.25">
      <c r="A12" t="s">
        <v>36</v>
      </c>
      <c r="B12" s="1" t="s">
        <v>118</v>
      </c>
      <c r="C12">
        <v>171</v>
      </c>
      <c r="D12">
        <v>306</v>
      </c>
      <c r="E12">
        <v>421</v>
      </c>
      <c r="F12" s="3">
        <f>VLOOKUP(A:A,Products!A:F,6,FALSE)</f>
        <v>297.5</v>
      </c>
      <c r="G12" s="8">
        <f t="shared" si="0"/>
        <v>50872.5</v>
      </c>
      <c r="H12" s="8" t="str">
        <f t="shared" si="1"/>
        <v>High Risk</v>
      </c>
    </row>
    <row r="13" spans="1:10" x14ac:dyDescent="0.25">
      <c r="A13" t="s">
        <v>9</v>
      </c>
      <c r="B13" s="1" t="s">
        <v>120</v>
      </c>
      <c r="C13">
        <v>172</v>
      </c>
      <c r="D13">
        <v>312</v>
      </c>
      <c r="E13">
        <v>435</v>
      </c>
      <c r="F13" s="3">
        <f>VLOOKUP(A:A,Products!A:F,6,FALSE)</f>
        <v>157.5</v>
      </c>
      <c r="G13" s="8">
        <f t="shared" si="0"/>
        <v>27090</v>
      </c>
      <c r="H13" s="8" t="str">
        <f t="shared" si="1"/>
        <v>High Risk</v>
      </c>
    </row>
    <row r="14" spans="1:10" x14ac:dyDescent="0.25">
      <c r="A14" t="s">
        <v>32</v>
      </c>
      <c r="B14" s="1" t="s">
        <v>125</v>
      </c>
      <c r="C14">
        <v>179</v>
      </c>
      <c r="D14">
        <v>330</v>
      </c>
      <c r="E14">
        <v>246</v>
      </c>
      <c r="F14" s="3">
        <f>VLOOKUP(A:A,Products!A:F,6,FALSE)</f>
        <v>174.29999999999998</v>
      </c>
      <c r="G14" s="8">
        <f t="shared" si="0"/>
        <v>31199.699999999997</v>
      </c>
      <c r="H14" s="8" t="str">
        <f t="shared" si="1"/>
        <v>High Risk</v>
      </c>
    </row>
    <row r="15" spans="1:10" x14ac:dyDescent="0.25">
      <c r="A15" t="s">
        <v>29</v>
      </c>
      <c r="B15" s="1" t="s">
        <v>118</v>
      </c>
      <c r="C15">
        <v>186</v>
      </c>
      <c r="D15">
        <v>291</v>
      </c>
      <c r="E15">
        <v>289</v>
      </c>
      <c r="F15" s="3">
        <f>VLOOKUP(A:A,Products!A:F,6,FALSE)</f>
        <v>104.3</v>
      </c>
      <c r="G15" s="8">
        <f t="shared" si="0"/>
        <v>19399.8</v>
      </c>
      <c r="H15" s="8" t="str">
        <f t="shared" si="1"/>
        <v>High Risk</v>
      </c>
    </row>
    <row r="16" spans="1:10" x14ac:dyDescent="0.25">
      <c r="A16" t="s">
        <v>76</v>
      </c>
      <c r="B16" s="1" t="s">
        <v>120</v>
      </c>
      <c r="C16">
        <v>186</v>
      </c>
      <c r="D16">
        <v>304</v>
      </c>
      <c r="E16">
        <v>275</v>
      </c>
      <c r="F16" s="3">
        <f>VLOOKUP(A:A,Products!A:F,6,FALSE)</f>
        <v>112</v>
      </c>
      <c r="G16" s="8">
        <f t="shared" si="0"/>
        <v>20832</v>
      </c>
      <c r="H16" s="8" t="str">
        <f t="shared" si="1"/>
        <v>High Risk</v>
      </c>
    </row>
    <row r="17" spans="1:8" x14ac:dyDescent="0.25">
      <c r="A17" t="s">
        <v>47</v>
      </c>
      <c r="B17" s="1" t="s">
        <v>118</v>
      </c>
      <c r="C17">
        <v>187</v>
      </c>
      <c r="D17">
        <v>336</v>
      </c>
      <c r="E17">
        <v>322</v>
      </c>
      <c r="F17" s="3">
        <f>VLOOKUP(A:A,Products!A:F,6,FALSE)</f>
        <v>84</v>
      </c>
      <c r="G17" s="8">
        <f t="shared" si="0"/>
        <v>15708</v>
      </c>
      <c r="H17" s="8" t="str">
        <f t="shared" si="1"/>
        <v>High Risk</v>
      </c>
    </row>
    <row r="18" spans="1:8" x14ac:dyDescent="0.25">
      <c r="A18" t="s">
        <v>15</v>
      </c>
      <c r="B18" s="1" t="s">
        <v>120</v>
      </c>
      <c r="C18">
        <v>188</v>
      </c>
      <c r="D18">
        <v>286</v>
      </c>
      <c r="E18">
        <v>350</v>
      </c>
      <c r="F18" s="3">
        <f>VLOOKUP(A:A,Products!A:F,6,FALSE)</f>
        <v>244.29999999999998</v>
      </c>
      <c r="G18" s="8">
        <f t="shared" si="0"/>
        <v>45928.399999999994</v>
      </c>
      <c r="H18" s="8" t="str">
        <f t="shared" si="1"/>
        <v>High Risk</v>
      </c>
    </row>
    <row r="19" spans="1:8" x14ac:dyDescent="0.25">
      <c r="A19" t="s">
        <v>23</v>
      </c>
      <c r="B19" s="1" t="s">
        <v>118</v>
      </c>
      <c r="C19">
        <v>193</v>
      </c>
      <c r="D19">
        <v>275</v>
      </c>
      <c r="E19">
        <v>211</v>
      </c>
      <c r="F19" s="3">
        <f>VLOOKUP(A:A,Products!A:F,6,FALSE)</f>
        <v>31.499999999999996</v>
      </c>
      <c r="G19" s="8">
        <f t="shared" si="0"/>
        <v>6079.4999999999991</v>
      </c>
      <c r="H19" s="8" t="str">
        <f t="shared" si="1"/>
        <v>High Risk</v>
      </c>
    </row>
    <row r="20" spans="1:8" x14ac:dyDescent="0.25">
      <c r="A20" t="s">
        <v>25</v>
      </c>
      <c r="B20" s="1" t="s">
        <v>122</v>
      </c>
      <c r="C20">
        <v>202</v>
      </c>
      <c r="D20">
        <v>270</v>
      </c>
      <c r="E20">
        <v>230</v>
      </c>
      <c r="F20" s="3">
        <f>VLOOKUP(A:A,Products!A:F,6,FALSE)</f>
        <v>87.5</v>
      </c>
      <c r="G20" s="8">
        <f t="shared" si="0"/>
        <v>17675</v>
      </c>
      <c r="H20" s="8" t="str">
        <f t="shared" si="1"/>
        <v>High Risk</v>
      </c>
    </row>
    <row r="21" spans="1:8" x14ac:dyDescent="0.25">
      <c r="A21" t="s">
        <v>68</v>
      </c>
      <c r="B21" s="1" t="s">
        <v>120</v>
      </c>
      <c r="C21">
        <v>203</v>
      </c>
      <c r="D21">
        <v>296</v>
      </c>
      <c r="E21">
        <v>338</v>
      </c>
      <c r="F21" s="3">
        <f>VLOOKUP(A:A,Products!A:F,6,FALSE)</f>
        <v>80.5</v>
      </c>
      <c r="G21" s="8">
        <f t="shared" si="0"/>
        <v>16341.5</v>
      </c>
      <c r="H21" s="8" t="str">
        <f t="shared" si="1"/>
        <v>High Risk</v>
      </c>
    </row>
    <row r="22" spans="1:8" x14ac:dyDescent="0.25">
      <c r="A22" t="s">
        <v>82</v>
      </c>
      <c r="B22" s="1" t="s">
        <v>125</v>
      </c>
      <c r="C22">
        <v>204</v>
      </c>
      <c r="D22">
        <v>265</v>
      </c>
      <c r="E22">
        <v>355</v>
      </c>
      <c r="F22" s="3">
        <f>VLOOKUP(A:A,Products!A:F,6,FALSE)</f>
        <v>244.29999999999998</v>
      </c>
      <c r="G22" s="8">
        <f t="shared" si="0"/>
        <v>49837.2</v>
      </c>
      <c r="H22" s="8" t="str">
        <f t="shared" si="1"/>
        <v>High Risk</v>
      </c>
    </row>
    <row r="23" spans="1:8" x14ac:dyDescent="0.25">
      <c r="A23" t="s">
        <v>53</v>
      </c>
      <c r="B23" s="1" t="s">
        <v>122</v>
      </c>
      <c r="C23">
        <v>208</v>
      </c>
      <c r="D23">
        <v>266</v>
      </c>
      <c r="E23">
        <v>474</v>
      </c>
      <c r="F23" s="3">
        <f>VLOOKUP(A:A,Products!A:F,6,FALSE)</f>
        <v>35</v>
      </c>
      <c r="G23" s="8">
        <f t="shared" si="0"/>
        <v>7280</v>
      </c>
      <c r="H23" s="8" t="str">
        <f t="shared" si="1"/>
        <v>High Risk</v>
      </c>
    </row>
    <row r="24" spans="1:8" x14ac:dyDescent="0.25">
      <c r="A24" t="s">
        <v>55</v>
      </c>
      <c r="B24" s="1" t="s">
        <v>118</v>
      </c>
      <c r="C24">
        <v>208</v>
      </c>
      <c r="D24">
        <v>308</v>
      </c>
      <c r="E24">
        <v>463</v>
      </c>
      <c r="F24" s="3">
        <f>VLOOKUP(A:A,Products!A:F,6,FALSE)</f>
        <v>21</v>
      </c>
      <c r="G24" s="8">
        <f t="shared" si="0"/>
        <v>4368</v>
      </c>
      <c r="H24" s="8" t="str">
        <f t="shared" si="1"/>
        <v>High Risk</v>
      </c>
    </row>
    <row r="25" spans="1:8" x14ac:dyDescent="0.25">
      <c r="A25" t="s">
        <v>9</v>
      </c>
      <c r="B25" s="1" t="s">
        <v>125</v>
      </c>
      <c r="C25">
        <v>211</v>
      </c>
      <c r="D25">
        <v>319</v>
      </c>
      <c r="E25">
        <v>433</v>
      </c>
      <c r="F25" s="3">
        <f>VLOOKUP(A:A,Products!A:F,6,FALSE)</f>
        <v>157.5</v>
      </c>
      <c r="G25" s="8">
        <f t="shared" si="0"/>
        <v>33232.5</v>
      </c>
      <c r="H25" s="8" t="str">
        <f t="shared" si="1"/>
        <v>High Risk</v>
      </c>
    </row>
    <row r="26" spans="1:8" x14ac:dyDescent="0.25">
      <c r="A26" t="s">
        <v>72</v>
      </c>
      <c r="B26" s="1" t="s">
        <v>125</v>
      </c>
      <c r="C26">
        <v>214</v>
      </c>
      <c r="D26">
        <v>271</v>
      </c>
      <c r="E26">
        <v>393</v>
      </c>
      <c r="F26" s="3">
        <f>VLOOKUP(A:A,Products!A:F,6,FALSE)</f>
        <v>174.29999999999998</v>
      </c>
      <c r="G26" s="8">
        <f t="shared" si="0"/>
        <v>37300.199999999997</v>
      </c>
      <c r="H26" s="8" t="str">
        <f t="shared" si="1"/>
        <v>High Risk</v>
      </c>
    </row>
    <row r="27" spans="1:8" x14ac:dyDescent="0.25">
      <c r="A27" t="s">
        <v>80</v>
      </c>
      <c r="B27" s="1" t="s">
        <v>118</v>
      </c>
      <c r="C27">
        <v>217</v>
      </c>
      <c r="D27">
        <v>251</v>
      </c>
      <c r="E27">
        <v>222</v>
      </c>
      <c r="F27" s="3">
        <f>VLOOKUP(A:A,Products!A:F,6,FALSE)</f>
        <v>105</v>
      </c>
      <c r="G27" s="8">
        <f t="shared" si="0"/>
        <v>22785</v>
      </c>
      <c r="H27" s="8" t="str">
        <f t="shared" si="1"/>
        <v>High Risk</v>
      </c>
    </row>
    <row r="28" spans="1:8" x14ac:dyDescent="0.25">
      <c r="A28" t="s">
        <v>84</v>
      </c>
      <c r="B28" s="1" t="s">
        <v>120</v>
      </c>
      <c r="C28">
        <v>217</v>
      </c>
      <c r="D28">
        <v>325</v>
      </c>
      <c r="E28">
        <v>439</v>
      </c>
      <c r="F28" s="3">
        <f>VLOOKUP(A:A,Products!A:F,6,FALSE)</f>
        <v>279.29999999999995</v>
      </c>
      <c r="G28" s="8">
        <f t="shared" si="0"/>
        <v>60608.099999999991</v>
      </c>
      <c r="H28" s="8" t="str">
        <f t="shared" si="1"/>
        <v>High Risk</v>
      </c>
    </row>
    <row r="29" spans="1:8" x14ac:dyDescent="0.25">
      <c r="A29" t="s">
        <v>13</v>
      </c>
      <c r="B29" s="1" t="s">
        <v>125</v>
      </c>
      <c r="C29">
        <v>224</v>
      </c>
      <c r="D29">
        <v>266</v>
      </c>
      <c r="E29">
        <v>306</v>
      </c>
      <c r="F29" s="3">
        <f>VLOOKUP(A:A,Products!A:F,6,FALSE)</f>
        <v>314.29999999999995</v>
      </c>
      <c r="G29" s="8">
        <f t="shared" si="0"/>
        <v>70403.199999999983</v>
      </c>
      <c r="H29" s="8" t="str">
        <f t="shared" si="1"/>
        <v>High Risk</v>
      </c>
    </row>
    <row r="30" spans="1:8" x14ac:dyDescent="0.25">
      <c r="A30" t="s">
        <v>59</v>
      </c>
      <c r="B30" s="1" t="s">
        <v>120</v>
      </c>
      <c r="C30">
        <v>224</v>
      </c>
      <c r="D30">
        <v>275</v>
      </c>
      <c r="E30">
        <v>343</v>
      </c>
      <c r="F30" s="3">
        <f>VLOOKUP(A:A,Products!A:F,6,FALSE)</f>
        <v>69.3</v>
      </c>
      <c r="G30" s="8">
        <f t="shared" si="0"/>
        <v>15523.199999999999</v>
      </c>
      <c r="H30" s="8" t="str">
        <f t="shared" si="1"/>
        <v>High Risk</v>
      </c>
    </row>
    <row r="31" spans="1:8" x14ac:dyDescent="0.25">
      <c r="A31" t="s">
        <v>38</v>
      </c>
      <c r="B31" s="1" t="s">
        <v>122</v>
      </c>
      <c r="C31">
        <v>227</v>
      </c>
      <c r="D31">
        <v>336</v>
      </c>
      <c r="E31">
        <v>496</v>
      </c>
      <c r="F31" s="3">
        <f>VLOOKUP(A:A,Products!A:F,6,FALSE)</f>
        <v>279.29999999999995</v>
      </c>
      <c r="G31" s="8">
        <f t="shared" si="0"/>
        <v>63401.099999999991</v>
      </c>
      <c r="H31" s="8" t="str">
        <f t="shared" si="1"/>
        <v>High Risk</v>
      </c>
    </row>
    <row r="32" spans="1:8" x14ac:dyDescent="0.25">
      <c r="A32" t="s">
        <v>32</v>
      </c>
      <c r="B32" s="1" t="s">
        <v>120</v>
      </c>
      <c r="C32">
        <v>228</v>
      </c>
      <c r="D32">
        <v>277</v>
      </c>
      <c r="E32">
        <v>364</v>
      </c>
      <c r="F32" s="3">
        <f>VLOOKUP(A:A,Products!A:F,6,FALSE)</f>
        <v>174.29999999999998</v>
      </c>
      <c r="G32" s="8">
        <f t="shared" si="0"/>
        <v>39740.399999999994</v>
      </c>
      <c r="H32" s="8" t="str">
        <f t="shared" si="1"/>
        <v>High Risk</v>
      </c>
    </row>
    <row r="33" spans="1:8" x14ac:dyDescent="0.25">
      <c r="A33" t="s">
        <v>47</v>
      </c>
      <c r="B33" s="1" t="s">
        <v>120</v>
      </c>
      <c r="C33">
        <v>233</v>
      </c>
      <c r="D33">
        <v>262</v>
      </c>
      <c r="E33">
        <v>302</v>
      </c>
      <c r="F33" s="3">
        <f>VLOOKUP(A:A,Products!A:F,6,FALSE)</f>
        <v>84</v>
      </c>
      <c r="G33" s="8">
        <f t="shared" si="0"/>
        <v>19572</v>
      </c>
      <c r="H33" s="8" t="str">
        <f t="shared" si="1"/>
        <v>High Risk</v>
      </c>
    </row>
    <row r="34" spans="1:8" x14ac:dyDescent="0.25">
      <c r="A34" t="s">
        <v>11</v>
      </c>
      <c r="B34" s="1" t="s">
        <v>120</v>
      </c>
      <c r="C34">
        <v>237</v>
      </c>
      <c r="D34">
        <v>346</v>
      </c>
      <c r="E34">
        <v>259</v>
      </c>
      <c r="F34" s="3">
        <f>VLOOKUP(A:A,Products!A:F,6,FALSE)</f>
        <v>279.29999999999995</v>
      </c>
      <c r="G34" s="8">
        <f t="shared" si="0"/>
        <v>66194.099999999991</v>
      </c>
      <c r="H34" s="8" t="str">
        <f t="shared" si="1"/>
        <v>High Risk</v>
      </c>
    </row>
    <row r="35" spans="1:8" x14ac:dyDescent="0.25">
      <c r="A35" t="s">
        <v>36</v>
      </c>
      <c r="B35" s="1" t="s">
        <v>120</v>
      </c>
      <c r="C35">
        <v>239</v>
      </c>
      <c r="D35">
        <v>303</v>
      </c>
      <c r="E35">
        <v>245</v>
      </c>
      <c r="F35" s="3">
        <f>VLOOKUP(A:A,Products!A:F,6,FALSE)</f>
        <v>297.5</v>
      </c>
      <c r="G35" s="8">
        <f t="shared" si="0"/>
        <v>71102.5</v>
      </c>
      <c r="H35" s="8" t="str">
        <f t="shared" si="1"/>
        <v>High Risk</v>
      </c>
    </row>
    <row r="36" spans="1:8" x14ac:dyDescent="0.25">
      <c r="A36" t="s">
        <v>55</v>
      </c>
      <c r="B36" s="1" t="s">
        <v>122</v>
      </c>
      <c r="C36">
        <v>239</v>
      </c>
      <c r="D36">
        <v>298</v>
      </c>
      <c r="E36">
        <v>304</v>
      </c>
      <c r="F36" s="3">
        <f>VLOOKUP(A:A,Products!A:F,6,FALSE)</f>
        <v>21</v>
      </c>
      <c r="G36" s="8">
        <f t="shared" si="0"/>
        <v>5019</v>
      </c>
      <c r="H36" s="8" t="str">
        <f t="shared" si="1"/>
        <v>High Risk</v>
      </c>
    </row>
    <row r="37" spans="1:8" x14ac:dyDescent="0.25">
      <c r="A37" t="s">
        <v>32</v>
      </c>
      <c r="B37" s="1" t="s">
        <v>122</v>
      </c>
      <c r="C37">
        <v>241</v>
      </c>
      <c r="D37">
        <v>335</v>
      </c>
      <c r="E37">
        <v>463</v>
      </c>
      <c r="F37" s="3">
        <f>VLOOKUP(A:A,Products!A:F,6,FALSE)</f>
        <v>174.29999999999998</v>
      </c>
      <c r="G37" s="8">
        <f t="shared" si="0"/>
        <v>42006.299999999996</v>
      </c>
      <c r="H37" s="8" t="str">
        <f t="shared" si="1"/>
        <v>High Risk</v>
      </c>
    </row>
    <row r="38" spans="1:8" x14ac:dyDescent="0.25">
      <c r="A38" t="s">
        <v>57</v>
      </c>
      <c r="B38" s="1" t="s">
        <v>118</v>
      </c>
      <c r="C38">
        <v>244</v>
      </c>
      <c r="D38">
        <v>317</v>
      </c>
      <c r="E38">
        <v>467</v>
      </c>
      <c r="F38" s="3">
        <f>VLOOKUP(A:A,Products!A:F,6,FALSE)</f>
        <v>31.499999999999996</v>
      </c>
      <c r="G38" s="8">
        <f t="shared" si="0"/>
        <v>7685.9999999999991</v>
      </c>
      <c r="H38" s="8" t="str">
        <f t="shared" si="1"/>
        <v>High Risk</v>
      </c>
    </row>
    <row r="39" spans="1:8" x14ac:dyDescent="0.25">
      <c r="A39" t="s">
        <v>82</v>
      </c>
      <c r="B39" s="1" t="s">
        <v>118</v>
      </c>
      <c r="C39">
        <v>249</v>
      </c>
      <c r="D39">
        <v>267</v>
      </c>
      <c r="E39">
        <v>459</v>
      </c>
      <c r="F39" s="3">
        <f>VLOOKUP(A:A,Products!A:F,6,FALSE)</f>
        <v>244.29999999999998</v>
      </c>
      <c r="G39" s="8">
        <f t="shared" si="0"/>
        <v>60830.7</v>
      </c>
      <c r="H39" s="8" t="str">
        <f t="shared" si="1"/>
        <v>High Risk</v>
      </c>
    </row>
    <row r="40" spans="1:8" x14ac:dyDescent="0.25">
      <c r="A40" t="s">
        <v>25</v>
      </c>
      <c r="B40" s="1" t="s">
        <v>120</v>
      </c>
      <c r="C40">
        <v>254</v>
      </c>
      <c r="D40">
        <v>265</v>
      </c>
      <c r="E40">
        <v>205</v>
      </c>
      <c r="F40" s="3">
        <f>VLOOKUP(A:A,Products!A:F,6,FALSE)</f>
        <v>87.5</v>
      </c>
      <c r="G40" s="8">
        <f t="shared" si="0"/>
        <v>22225</v>
      </c>
      <c r="H40" s="8" t="str">
        <f t="shared" si="1"/>
        <v>High Risk</v>
      </c>
    </row>
    <row r="41" spans="1:8" x14ac:dyDescent="0.25">
      <c r="A41" t="s">
        <v>70</v>
      </c>
      <c r="B41" s="1" t="s">
        <v>118</v>
      </c>
      <c r="C41">
        <v>259</v>
      </c>
      <c r="D41">
        <v>323</v>
      </c>
      <c r="E41">
        <v>456</v>
      </c>
      <c r="F41" s="3">
        <f>VLOOKUP(A:A,Products!A:F,6,FALSE)</f>
        <v>84</v>
      </c>
      <c r="G41" s="8">
        <f t="shared" si="0"/>
        <v>21756</v>
      </c>
      <c r="H41" s="8" t="str">
        <f t="shared" si="1"/>
        <v>High Risk</v>
      </c>
    </row>
    <row r="42" spans="1:8" x14ac:dyDescent="0.25">
      <c r="A42" t="s">
        <v>72</v>
      </c>
      <c r="B42" s="1" t="s">
        <v>120</v>
      </c>
      <c r="C42">
        <v>259</v>
      </c>
      <c r="D42">
        <v>286</v>
      </c>
      <c r="E42">
        <v>287</v>
      </c>
      <c r="F42" s="3">
        <f>VLOOKUP(A:A,Products!A:F,6,FALSE)</f>
        <v>174.29999999999998</v>
      </c>
      <c r="G42" s="8">
        <f t="shared" si="0"/>
        <v>45143.7</v>
      </c>
      <c r="H42" s="8" t="str">
        <f t="shared" si="1"/>
        <v>High Risk</v>
      </c>
    </row>
    <row r="43" spans="1:8" x14ac:dyDescent="0.25">
      <c r="A43" t="s">
        <v>51</v>
      </c>
      <c r="B43" s="1" t="s">
        <v>122</v>
      </c>
      <c r="C43">
        <v>261</v>
      </c>
      <c r="D43">
        <v>315</v>
      </c>
      <c r="E43">
        <v>447</v>
      </c>
      <c r="F43" s="3">
        <f>VLOOKUP(A:A,Products!A:F,6,FALSE)</f>
        <v>154</v>
      </c>
      <c r="G43" s="8">
        <f t="shared" si="0"/>
        <v>40194</v>
      </c>
      <c r="H43" s="8" t="str">
        <f t="shared" si="1"/>
        <v>High Risk</v>
      </c>
    </row>
    <row r="44" spans="1:8" x14ac:dyDescent="0.25">
      <c r="A44" t="s">
        <v>40</v>
      </c>
      <c r="B44" s="1" t="s">
        <v>118</v>
      </c>
      <c r="C44">
        <v>263</v>
      </c>
      <c r="D44">
        <v>294</v>
      </c>
      <c r="E44">
        <v>207</v>
      </c>
      <c r="F44" s="3">
        <f>VLOOKUP(A:A,Products!A:F,6,FALSE)</f>
        <v>349.29999999999995</v>
      </c>
      <c r="G44" s="8">
        <f t="shared" si="0"/>
        <v>91865.9</v>
      </c>
      <c r="H44" s="8" t="str">
        <f t="shared" si="1"/>
        <v>High Risk</v>
      </c>
    </row>
    <row r="45" spans="1:8" x14ac:dyDescent="0.25">
      <c r="A45" t="s">
        <v>21</v>
      </c>
      <c r="B45" s="1" t="s">
        <v>125</v>
      </c>
      <c r="C45">
        <v>265</v>
      </c>
      <c r="D45">
        <v>330</v>
      </c>
      <c r="E45">
        <v>453</v>
      </c>
      <c r="F45" s="3">
        <f>VLOOKUP(A:A,Products!A:F,6,FALSE)</f>
        <v>28</v>
      </c>
      <c r="G45" s="8">
        <f t="shared" si="0"/>
        <v>7420</v>
      </c>
      <c r="H45" s="8" t="str">
        <f t="shared" si="1"/>
        <v>High Risk</v>
      </c>
    </row>
    <row r="46" spans="1:8" x14ac:dyDescent="0.25">
      <c r="A46" t="s">
        <v>7</v>
      </c>
      <c r="B46" s="1" t="s">
        <v>118</v>
      </c>
      <c r="C46">
        <v>266</v>
      </c>
      <c r="D46">
        <v>328</v>
      </c>
      <c r="E46">
        <v>447</v>
      </c>
      <c r="F46" s="3">
        <f>VLOOKUP(A:A,Products!A:F,6,FALSE)</f>
        <v>129.5</v>
      </c>
      <c r="G46" s="8">
        <f t="shared" si="0"/>
        <v>34447</v>
      </c>
      <c r="H46" s="8" t="str">
        <f t="shared" si="1"/>
        <v>High Risk</v>
      </c>
    </row>
    <row r="47" spans="1:8" x14ac:dyDescent="0.25">
      <c r="A47" t="s">
        <v>70</v>
      </c>
      <c r="B47" s="1" t="s">
        <v>122</v>
      </c>
      <c r="C47">
        <v>266</v>
      </c>
      <c r="D47">
        <v>252</v>
      </c>
      <c r="E47">
        <v>318</v>
      </c>
      <c r="F47" s="3">
        <f>VLOOKUP(A:A,Products!A:F,6,FALSE)</f>
        <v>84</v>
      </c>
      <c r="G47" s="8">
        <f t="shared" si="0"/>
        <v>22344</v>
      </c>
      <c r="H47" s="8" t="str">
        <f t="shared" si="1"/>
        <v>Safe</v>
      </c>
    </row>
    <row r="48" spans="1:8" x14ac:dyDescent="0.25">
      <c r="A48" t="s">
        <v>7</v>
      </c>
      <c r="B48" s="1" t="s">
        <v>122</v>
      </c>
      <c r="C48">
        <v>269</v>
      </c>
      <c r="D48">
        <v>309</v>
      </c>
      <c r="E48">
        <v>408</v>
      </c>
      <c r="F48" s="3">
        <f>VLOOKUP(A:A,Products!A:F,6,FALSE)</f>
        <v>129.5</v>
      </c>
      <c r="G48" s="8">
        <f t="shared" si="0"/>
        <v>34835.5</v>
      </c>
      <c r="H48" s="8" t="str">
        <f t="shared" si="1"/>
        <v>High Risk</v>
      </c>
    </row>
    <row r="49" spans="1:8" x14ac:dyDescent="0.25">
      <c r="A49" t="s">
        <v>17</v>
      </c>
      <c r="B49" s="1" t="s">
        <v>122</v>
      </c>
      <c r="C49">
        <v>272</v>
      </c>
      <c r="D49">
        <v>275</v>
      </c>
      <c r="E49">
        <v>337</v>
      </c>
      <c r="F49" s="3">
        <f>VLOOKUP(A:A,Products!A:F,6,FALSE)</f>
        <v>262.5</v>
      </c>
      <c r="G49" s="8">
        <f t="shared" si="0"/>
        <v>71400</v>
      </c>
      <c r="H49" s="8" t="str">
        <f t="shared" si="1"/>
        <v>High Risk</v>
      </c>
    </row>
    <row r="50" spans="1:8" x14ac:dyDescent="0.25">
      <c r="A50" t="s">
        <v>29</v>
      </c>
      <c r="B50" s="1" t="s">
        <v>120</v>
      </c>
      <c r="C50">
        <v>274</v>
      </c>
      <c r="D50">
        <v>259</v>
      </c>
      <c r="E50">
        <v>268</v>
      </c>
      <c r="F50" s="3">
        <f>VLOOKUP(A:A,Products!A:F,6,FALSE)</f>
        <v>104.3</v>
      </c>
      <c r="G50" s="8">
        <f t="shared" si="0"/>
        <v>28578.2</v>
      </c>
      <c r="H50" s="8" t="str">
        <f t="shared" si="1"/>
        <v>Safe</v>
      </c>
    </row>
    <row r="51" spans="1:8" x14ac:dyDescent="0.25">
      <c r="A51" t="s">
        <v>61</v>
      </c>
      <c r="B51" s="1" t="s">
        <v>120</v>
      </c>
      <c r="C51">
        <v>274</v>
      </c>
      <c r="D51">
        <v>268</v>
      </c>
      <c r="E51">
        <v>376</v>
      </c>
      <c r="F51" s="3">
        <f>VLOOKUP(A:A,Products!A:F,6,FALSE)</f>
        <v>80.5</v>
      </c>
      <c r="G51" s="8">
        <f t="shared" si="0"/>
        <v>22057</v>
      </c>
      <c r="H51" s="8" t="str">
        <f t="shared" si="1"/>
        <v>Safe</v>
      </c>
    </row>
    <row r="52" spans="1:8" x14ac:dyDescent="0.25">
      <c r="A52" t="s">
        <v>78</v>
      </c>
      <c r="B52" s="1" t="s">
        <v>122</v>
      </c>
      <c r="C52">
        <v>280</v>
      </c>
      <c r="D52">
        <v>278</v>
      </c>
      <c r="E52">
        <v>255</v>
      </c>
      <c r="F52" s="3">
        <f>VLOOKUP(A:A,Products!A:F,6,FALSE)</f>
        <v>147</v>
      </c>
      <c r="G52" s="8">
        <f t="shared" si="0"/>
        <v>41160</v>
      </c>
      <c r="H52" s="8" t="str">
        <f t="shared" si="1"/>
        <v>Safe</v>
      </c>
    </row>
    <row r="53" spans="1:8" x14ac:dyDescent="0.25">
      <c r="A53" t="s">
        <v>49</v>
      </c>
      <c r="B53" s="1" t="s">
        <v>125</v>
      </c>
      <c r="C53">
        <v>284</v>
      </c>
      <c r="D53">
        <v>291</v>
      </c>
      <c r="E53">
        <v>396</v>
      </c>
      <c r="F53" s="3">
        <f>VLOOKUP(A:A,Products!A:F,6,FALSE)</f>
        <v>104.3</v>
      </c>
      <c r="G53" s="8">
        <f t="shared" si="0"/>
        <v>29621.200000000001</v>
      </c>
      <c r="H53" s="8" t="str">
        <f t="shared" si="1"/>
        <v>High Risk</v>
      </c>
    </row>
    <row r="54" spans="1:8" x14ac:dyDescent="0.25">
      <c r="A54" t="s">
        <v>40</v>
      </c>
      <c r="B54" s="1" t="s">
        <v>125</v>
      </c>
      <c r="C54">
        <v>286</v>
      </c>
      <c r="D54">
        <v>346</v>
      </c>
      <c r="E54">
        <v>472</v>
      </c>
      <c r="F54" s="3">
        <f>VLOOKUP(A:A,Products!A:F,6,FALSE)</f>
        <v>349.29999999999995</v>
      </c>
      <c r="G54" s="8">
        <f t="shared" si="0"/>
        <v>99899.799999999988</v>
      </c>
      <c r="H54" s="8" t="str">
        <f t="shared" si="1"/>
        <v>High Risk</v>
      </c>
    </row>
    <row r="55" spans="1:8" x14ac:dyDescent="0.25">
      <c r="A55" t="s">
        <v>47</v>
      </c>
      <c r="B55" s="1" t="s">
        <v>122</v>
      </c>
      <c r="C55">
        <v>288</v>
      </c>
      <c r="D55">
        <v>278</v>
      </c>
      <c r="E55">
        <v>445</v>
      </c>
      <c r="F55" s="3">
        <f>VLOOKUP(A:A,Products!A:F,6,FALSE)</f>
        <v>84</v>
      </c>
      <c r="G55" s="8">
        <f t="shared" si="0"/>
        <v>24192</v>
      </c>
      <c r="H55" s="8" t="str">
        <f t="shared" si="1"/>
        <v>Safe</v>
      </c>
    </row>
    <row r="56" spans="1:8" x14ac:dyDescent="0.25">
      <c r="A56" t="s">
        <v>25</v>
      </c>
      <c r="B56" s="1" t="s">
        <v>118</v>
      </c>
      <c r="C56">
        <v>290</v>
      </c>
      <c r="D56">
        <v>301</v>
      </c>
      <c r="E56">
        <v>222</v>
      </c>
      <c r="F56" s="3">
        <f>VLOOKUP(A:A,Products!A:F,6,FALSE)</f>
        <v>87.5</v>
      </c>
      <c r="G56" s="8">
        <f t="shared" si="0"/>
        <v>25375</v>
      </c>
      <c r="H56" s="8" t="str">
        <f t="shared" si="1"/>
        <v>High Risk</v>
      </c>
    </row>
    <row r="57" spans="1:8" x14ac:dyDescent="0.25">
      <c r="A57" t="s">
        <v>19</v>
      </c>
      <c r="B57" s="1" t="s">
        <v>120</v>
      </c>
      <c r="C57">
        <v>292</v>
      </c>
      <c r="D57">
        <v>270</v>
      </c>
      <c r="E57">
        <v>324</v>
      </c>
      <c r="F57" s="3">
        <f>VLOOKUP(A:A,Products!A:F,6,FALSE)</f>
        <v>31.499999999999996</v>
      </c>
      <c r="G57" s="8">
        <f t="shared" si="0"/>
        <v>9197.9999999999982</v>
      </c>
      <c r="H57" s="8" t="str">
        <f t="shared" si="1"/>
        <v>Safe</v>
      </c>
    </row>
    <row r="58" spans="1:8" x14ac:dyDescent="0.25">
      <c r="A58" t="s">
        <v>34</v>
      </c>
      <c r="B58" s="1" t="s">
        <v>120</v>
      </c>
      <c r="C58">
        <v>294</v>
      </c>
      <c r="D58">
        <v>320</v>
      </c>
      <c r="E58">
        <v>321</v>
      </c>
      <c r="F58" s="3">
        <f>VLOOKUP(A:A,Products!A:F,6,FALSE)</f>
        <v>125.99999999999999</v>
      </c>
      <c r="G58" s="8">
        <f t="shared" si="0"/>
        <v>37043.999999999993</v>
      </c>
      <c r="H58" s="8" t="str">
        <f t="shared" si="1"/>
        <v>High Risk</v>
      </c>
    </row>
    <row r="59" spans="1:8" x14ac:dyDescent="0.25">
      <c r="A59" t="s">
        <v>74</v>
      </c>
      <c r="B59" s="1" t="s">
        <v>120</v>
      </c>
      <c r="C59">
        <v>296</v>
      </c>
      <c r="D59">
        <v>322</v>
      </c>
      <c r="E59">
        <v>408</v>
      </c>
      <c r="F59" s="3">
        <f>VLOOKUP(A:A,Products!A:F,6,FALSE)</f>
        <v>192.5</v>
      </c>
      <c r="G59" s="8">
        <f t="shared" si="0"/>
        <v>56980</v>
      </c>
      <c r="H59" s="8" t="str">
        <f t="shared" si="1"/>
        <v>High Risk</v>
      </c>
    </row>
    <row r="60" spans="1:8" x14ac:dyDescent="0.25">
      <c r="A60" t="s">
        <v>11</v>
      </c>
      <c r="B60" s="1" t="s">
        <v>122</v>
      </c>
      <c r="C60">
        <v>297</v>
      </c>
      <c r="D60">
        <v>285</v>
      </c>
      <c r="E60">
        <v>438</v>
      </c>
      <c r="F60" s="3">
        <f>VLOOKUP(A:A,Products!A:F,6,FALSE)</f>
        <v>279.29999999999995</v>
      </c>
      <c r="G60" s="8">
        <f t="shared" si="0"/>
        <v>82952.099999999991</v>
      </c>
      <c r="H60" s="8" t="str">
        <f t="shared" si="1"/>
        <v>Safe</v>
      </c>
    </row>
    <row r="61" spans="1:8" x14ac:dyDescent="0.25">
      <c r="A61" t="s">
        <v>70</v>
      </c>
      <c r="B61" s="1" t="s">
        <v>120</v>
      </c>
      <c r="C61">
        <v>297</v>
      </c>
      <c r="D61">
        <v>286</v>
      </c>
      <c r="E61">
        <v>459</v>
      </c>
      <c r="F61" s="3">
        <f>VLOOKUP(A:A,Products!A:F,6,FALSE)</f>
        <v>84</v>
      </c>
      <c r="G61" s="8">
        <f t="shared" si="0"/>
        <v>24948</v>
      </c>
      <c r="H61" s="8" t="str">
        <f t="shared" si="1"/>
        <v>Safe</v>
      </c>
    </row>
    <row r="62" spans="1:8" x14ac:dyDescent="0.25">
      <c r="A62" t="s">
        <v>23</v>
      </c>
      <c r="B62" s="1" t="s">
        <v>120</v>
      </c>
      <c r="C62">
        <v>305</v>
      </c>
      <c r="D62">
        <v>341</v>
      </c>
      <c r="E62">
        <v>303</v>
      </c>
      <c r="F62" s="3">
        <f>VLOOKUP(A:A,Products!A:F,6,FALSE)</f>
        <v>31.499999999999996</v>
      </c>
      <c r="G62" s="8">
        <f t="shared" si="0"/>
        <v>9607.4999999999982</v>
      </c>
      <c r="H62" s="8" t="str">
        <f t="shared" si="1"/>
        <v>High Risk</v>
      </c>
    </row>
    <row r="63" spans="1:8" x14ac:dyDescent="0.25">
      <c r="A63" t="s">
        <v>68</v>
      </c>
      <c r="B63" s="1" t="s">
        <v>122</v>
      </c>
      <c r="C63">
        <v>308</v>
      </c>
      <c r="D63">
        <v>350</v>
      </c>
      <c r="E63">
        <v>484</v>
      </c>
      <c r="F63" s="3">
        <f>VLOOKUP(A:A,Products!A:F,6,FALSE)</f>
        <v>80.5</v>
      </c>
      <c r="G63" s="8">
        <f t="shared" si="0"/>
        <v>24794</v>
      </c>
      <c r="H63" s="8" t="str">
        <f t="shared" si="1"/>
        <v>High Risk</v>
      </c>
    </row>
    <row r="64" spans="1:8" x14ac:dyDescent="0.25">
      <c r="A64" t="s">
        <v>80</v>
      </c>
      <c r="B64" s="1" t="s">
        <v>120</v>
      </c>
      <c r="C64">
        <v>310</v>
      </c>
      <c r="D64">
        <v>332</v>
      </c>
      <c r="E64">
        <v>347</v>
      </c>
      <c r="F64" s="3">
        <f>VLOOKUP(A:A,Products!A:F,6,FALSE)</f>
        <v>105</v>
      </c>
      <c r="G64" s="8">
        <f t="shared" si="0"/>
        <v>32550</v>
      </c>
      <c r="H64" s="8" t="str">
        <f t="shared" si="1"/>
        <v>High Risk</v>
      </c>
    </row>
    <row r="65" spans="1:8" x14ac:dyDescent="0.25">
      <c r="A65" t="s">
        <v>23</v>
      </c>
      <c r="B65" s="1" t="s">
        <v>122</v>
      </c>
      <c r="C65">
        <v>311</v>
      </c>
      <c r="D65">
        <v>301</v>
      </c>
      <c r="E65">
        <v>406</v>
      </c>
      <c r="F65" s="3">
        <f>VLOOKUP(A:A,Products!A:F,6,FALSE)</f>
        <v>31.499999999999996</v>
      </c>
      <c r="G65" s="8">
        <f t="shared" si="0"/>
        <v>9796.4999999999982</v>
      </c>
      <c r="H65" s="8" t="str">
        <f t="shared" si="1"/>
        <v>Safe</v>
      </c>
    </row>
    <row r="66" spans="1:8" x14ac:dyDescent="0.25">
      <c r="A66" t="s">
        <v>34</v>
      </c>
      <c r="B66" s="1" t="s">
        <v>122</v>
      </c>
      <c r="C66">
        <v>311</v>
      </c>
      <c r="D66">
        <v>346</v>
      </c>
      <c r="E66">
        <v>344</v>
      </c>
      <c r="F66" s="3">
        <f>VLOOKUP(A:A,Products!A:F,6,FALSE)</f>
        <v>125.99999999999999</v>
      </c>
      <c r="G66" s="8">
        <f t="shared" si="0"/>
        <v>39185.999999999993</v>
      </c>
      <c r="H66" s="8" t="str">
        <f t="shared" si="1"/>
        <v>High Risk</v>
      </c>
    </row>
    <row r="67" spans="1:8" x14ac:dyDescent="0.25">
      <c r="A67" t="s">
        <v>76</v>
      </c>
      <c r="B67" s="1" t="s">
        <v>118</v>
      </c>
      <c r="C67">
        <v>320</v>
      </c>
      <c r="D67">
        <v>293</v>
      </c>
      <c r="E67">
        <v>483</v>
      </c>
      <c r="F67" s="3">
        <f>VLOOKUP(A:A,Products!A:F,6,FALSE)</f>
        <v>112</v>
      </c>
      <c r="G67" s="8">
        <f t="shared" ref="G67:G130" si="2">C67*F67</f>
        <v>35840</v>
      </c>
      <c r="H67" s="8" t="str">
        <f t="shared" ref="H67:H130" si="3">IF(C67&lt;D67,"High Risk","Safe")</f>
        <v>Safe</v>
      </c>
    </row>
    <row r="68" spans="1:8" x14ac:dyDescent="0.25">
      <c r="A68" t="s">
        <v>4</v>
      </c>
      <c r="B68" s="1" t="s">
        <v>125</v>
      </c>
      <c r="C68">
        <v>323</v>
      </c>
      <c r="D68">
        <v>256</v>
      </c>
      <c r="E68">
        <v>404</v>
      </c>
      <c r="F68" s="3">
        <f>VLOOKUP(A:A,Products!A:F,6,FALSE)</f>
        <v>139.29999999999998</v>
      </c>
      <c r="G68" s="8">
        <f t="shared" si="2"/>
        <v>44993.899999999994</v>
      </c>
      <c r="H68" s="8" t="str">
        <f t="shared" si="3"/>
        <v>Safe</v>
      </c>
    </row>
    <row r="69" spans="1:8" x14ac:dyDescent="0.25">
      <c r="A69" t="s">
        <v>7</v>
      </c>
      <c r="B69" s="1" t="s">
        <v>120</v>
      </c>
      <c r="C69">
        <v>323</v>
      </c>
      <c r="D69">
        <v>297</v>
      </c>
      <c r="E69">
        <v>369</v>
      </c>
      <c r="F69" s="3">
        <f>VLOOKUP(A:A,Products!A:F,6,FALSE)</f>
        <v>129.5</v>
      </c>
      <c r="G69" s="8">
        <f t="shared" si="2"/>
        <v>41828.5</v>
      </c>
      <c r="H69" s="8" t="str">
        <f t="shared" si="3"/>
        <v>Safe</v>
      </c>
    </row>
    <row r="70" spans="1:8" x14ac:dyDescent="0.25">
      <c r="A70" t="s">
        <v>42</v>
      </c>
      <c r="B70" s="1" t="s">
        <v>120</v>
      </c>
      <c r="C70">
        <v>325</v>
      </c>
      <c r="D70">
        <v>336</v>
      </c>
      <c r="E70">
        <v>371</v>
      </c>
      <c r="F70" s="3">
        <f>VLOOKUP(A:A,Products!A:F,6,FALSE)</f>
        <v>28</v>
      </c>
      <c r="G70" s="8">
        <f t="shared" si="2"/>
        <v>9100</v>
      </c>
      <c r="H70" s="8" t="str">
        <f t="shared" si="3"/>
        <v>High Risk</v>
      </c>
    </row>
    <row r="71" spans="1:8" x14ac:dyDescent="0.25">
      <c r="A71" t="s">
        <v>61</v>
      </c>
      <c r="B71" s="1" t="s">
        <v>118</v>
      </c>
      <c r="C71">
        <v>326</v>
      </c>
      <c r="D71">
        <v>271</v>
      </c>
      <c r="E71">
        <v>320</v>
      </c>
      <c r="F71" s="3">
        <f>VLOOKUP(A:A,Products!A:F,6,FALSE)</f>
        <v>80.5</v>
      </c>
      <c r="G71" s="8">
        <f t="shared" si="2"/>
        <v>26243</v>
      </c>
      <c r="H71" s="8" t="str">
        <f t="shared" si="3"/>
        <v>Safe</v>
      </c>
    </row>
    <row r="72" spans="1:8" x14ac:dyDescent="0.25">
      <c r="A72" t="s">
        <v>84</v>
      </c>
      <c r="B72" s="1" t="s">
        <v>122</v>
      </c>
      <c r="C72">
        <v>328</v>
      </c>
      <c r="D72">
        <v>340</v>
      </c>
      <c r="E72">
        <v>434</v>
      </c>
      <c r="F72" s="3">
        <f>VLOOKUP(A:A,Products!A:F,6,FALSE)</f>
        <v>279.29999999999995</v>
      </c>
      <c r="G72" s="8">
        <f t="shared" si="2"/>
        <v>91610.39999999998</v>
      </c>
      <c r="H72" s="8" t="str">
        <f t="shared" si="3"/>
        <v>High Risk</v>
      </c>
    </row>
    <row r="73" spans="1:8" x14ac:dyDescent="0.25">
      <c r="A73" t="s">
        <v>53</v>
      </c>
      <c r="B73" s="1" t="s">
        <v>125</v>
      </c>
      <c r="C73">
        <v>329</v>
      </c>
      <c r="D73">
        <v>295</v>
      </c>
      <c r="E73">
        <v>207</v>
      </c>
      <c r="F73" s="3">
        <f>VLOOKUP(A:A,Products!A:F,6,FALSE)</f>
        <v>35</v>
      </c>
      <c r="G73" s="8">
        <f t="shared" si="2"/>
        <v>11515</v>
      </c>
      <c r="H73" s="8" t="str">
        <f t="shared" si="3"/>
        <v>Safe</v>
      </c>
    </row>
    <row r="74" spans="1:8" x14ac:dyDescent="0.25">
      <c r="A74" t="s">
        <v>45</v>
      </c>
      <c r="B74" s="1" t="s">
        <v>118</v>
      </c>
      <c r="C74">
        <v>335</v>
      </c>
      <c r="D74">
        <v>287</v>
      </c>
      <c r="E74">
        <v>469</v>
      </c>
      <c r="F74" s="3">
        <f>VLOOKUP(A:A,Products!A:F,6,FALSE)</f>
        <v>42</v>
      </c>
      <c r="G74" s="8">
        <f t="shared" si="2"/>
        <v>14070</v>
      </c>
      <c r="H74" s="8" t="str">
        <f t="shared" si="3"/>
        <v>Safe</v>
      </c>
    </row>
    <row r="75" spans="1:8" x14ac:dyDescent="0.25">
      <c r="A75" t="s">
        <v>36</v>
      </c>
      <c r="B75" s="1" t="s">
        <v>122</v>
      </c>
      <c r="C75">
        <v>337</v>
      </c>
      <c r="D75">
        <v>299</v>
      </c>
      <c r="E75">
        <v>411</v>
      </c>
      <c r="F75" s="3">
        <f>VLOOKUP(A:A,Products!A:F,6,FALSE)</f>
        <v>297.5</v>
      </c>
      <c r="G75" s="8">
        <f t="shared" si="2"/>
        <v>100257.5</v>
      </c>
      <c r="H75" s="8" t="str">
        <f t="shared" si="3"/>
        <v>Safe</v>
      </c>
    </row>
    <row r="76" spans="1:8" x14ac:dyDescent="0.25">
      <c r="A76" t="s">
        <v>32</v>
      </c>
      <c r="B76" s="1" t="s">
        <v>118</v>
      </c>
      <c r="C76">
        <v>344</v>
      </c>
      <c r="D76">
        <v>338</v>
      </c>
      <c r="E76">
        <v>317</v>
      </c>
      <c r="F76" s="3">
        <f>VLOOKUP(A:A,Products!A:F,6,FALSE)</f>
        <v>174.29999999999998</v>
      </c>
      <c r="G76" s="8">
        <f t="shared" si="2"/>
        <v>59959.199999999997</v>
      </c>
      <c r="H76" s="8" t="str">
        <f t="shared" si="3"/>
        <v>Safe</v>
      </c>
    </row>
    <row r="77" spans="1:8" x14ac:dyDescent="0.25">
      <c r="A77" t="s">
        <v>86</v>
      </c>
      <c r="B77" s="1" t="s">
        <v>118</v>
      </c>
      <c r="C77">
        <v>351</v>
      </c>
      <c r="D77">
        <v>298</v>
      </c>
      <c r="E77">
        <v>464</v>
      </c>
      <c r="F77" s="3">
        <f>VLOOKUP(A:A,Products!A:F,6,FALSE)</f>
        <v>419.29999999999995</v>
      </c>
      <c r="G77" s="8">
        <f t="shared" si="2"/>
        <v>147174.29999999999</v>
      </c>
      <c r="H77" s="8" t="str">
        <f t="shared" si="3"/>
        <v>Safe</v>
      </c>
    </row>
    <row r="78" spans="1:8" x14ac:dyDescent="0.25">
      <c r="A78" t="s">
        <v>63</v>
      </c>
      <c r="B78" s="1" t="s">
        <v>120</v>
      </c>
      <c r="C78">
        <v>352</v>
      </c>
      <c r="D78">
        <v>336</v>
      </c>
      <c r="E78">
        <v>474</v>
      </c>
      <c r="F78" s="3">
        <f>VLOOKUP(A:A,Products!A:F,6,FALSE)</f>
        <v>87.5</v>
      </c>
      <c r="G78" s="8">
        <f t="shared" si="2"/>
        <v>30800</v>
      </c>
      <c r="H78" s="8" t="str">
        <f t="shared" si="3"/>
        <v>Safe</v>
      </c>
    </row>
    <row r="79" spans="1:8" x14ac:dyDescent="0.25">
      <c r="A79" t="s">
        <v>21</v>
      </c>
      <c r="B79" s="1" t="s">
        <v>122</v>
      </c>
      <c r="C79">
        <v>355</v>
      </c>
      <c r="D79">
        <v>260</v>
      </c>
      <c r="E79">
        <v>474</v>
      </c>
      <c r="F79" s="3">
        <f>VLOOKUP(A:A,Products!A:F,6,FALSE)</f>
        <v>28</v>
      </c>
      <c r="G79" s="8">
        <f t="shared" si="2"/>
        <v>9940</v>
      </c>
      <c r="H79" s="8" t="str">
        <f t="shared" si="3"/>
        <v>Safe</v>
      </c>
    </row>
    <row r="80" spans="1:8" x14ac:dyDescent="0.25">
      <c r="A80" t="s">
        <v>57</v>
      </c>
      <c r="B80" s="1" t="s">
        <v>120</v>
      </c>
      <c r="C80">
        <v>356</v>
      </c>
      <c r="D80">
        <v>255</v>
      </c>
      <c r="E80">
        <v>447</v>
      </c>
      <c r="F80" s="3">
        <f>VLOOKUP(A:A,Products!A:F,6,FALSE)</f>
        <v>31.499999999999996</v>
      </c>
      <c r="G80" s="8">
        <f t="shared" si="2"/>
        <v>11213.999999999998</v>
      </c>
      <c r="H80" s="8" t="str">
        <f t="shared" si="3"/>
        <v>Safe</v>
      </c>
    </row>
    <row r="81" spans="1:8" x14ac:dyDescent="0.25">
      <c r="A81" t="s">
        <v>15</v>
      </c>
      <c r="B81" s="1" t="s">
        <v>118</v>
      </c>
      <c r="C81">
        <v>357</v>
      </c>
      <c r="D81">
        <v>277</v>
      </c>
      <c r="E81">
        <v>382</v>
      </c>
      <c r="F81" s="3">
        <f>VLOOKUP(A:A,Products!A:F,6,FALSE)</f>
        <v>244.29999999999998</v>
      </c>
      <c r="G81" s="8">
        <f t="shared" si="2"/>
        <v>87215.099999999991</v>
      </c>
      <c r="H81" s="8" t="str">
        <f t="shared" si="3"/>
        <v>Safe</v>
      </c>
    </row>
    <row r="82" spans="1:8" x14ac:dyDescent="0.25">
      <c r="A82" t="s">
        <v>4</v>
      </c>
      <c r="B82" s="1" t="s">
        <v>120</v>
      </c>
      <c r="C82">
        <v>358</v>
      </c>
      <c r="D82">
        <v>266</v>
      </c>
      <c r="E82">
        <v>270</v>
      </c>
      <c r="F82" s="3">
        <f>VLOOKUP(A:A,Products!A:F,6,FALSE)</f>
        <v>139.29999999999998</v>
      </c>
      <c r="G82" s="8">
        <f t="shared" si="2"/>
        <v>49869.399999999994</v>
      </c>
      <c r="H82" s="8" t="str">
        <f t="shared" si="3"/>
        <v>Safe</v>
      </c>
    </row>
    <row r="83" spans="1:8" x14ac:dyDescent="0.25">
      <c r="A83" t="s">
        <v>53</v>
      </c>
      <c r="B83" s="1" t="s">
        <v>120</v>
      </c>
      <c r="C83">
        <v>358</v>
      </c>
      <c r="D83">
        <v>343</v>
      </c>
      <c r="E83">
        <v>215</v>
      </c>
      <c r="F83" s="3">
        <f>VLOOKUP(A:A,Products!A:F,6,FALSE)</f>
        <v>35</v>
      </c>
      <c r="G83" s="8">
        <f t="shared" si="2"/>
        <v>12530</v>
      </c>
      <c r="H83" s="8" t="str">
        <f t="shared" si="3"/>
        <v>Safe</v>
      </c>
    </row>
    <row r="84" spans="1:8" x14ac:dyDescent="0.25">
      <c r="A84" t="s">
        <v>21</v>
      </c>
      <c r="B84" s="1" t="s">
        <v>120</v>
      </c>
      <c r="C84">
        <v>361</v>
      </c>
      <c r="D84">
        <v>320</v>
      </c>
      <c r="E84">
        <v>383</v>
      </c>
      <c r="F84" s="3">
        <f>VLOOKUP(A:A,Products!A:F,6,FALSE)</f>
        <v>28</v>
      </c>
      <c r="G84" s="8">
        <f t="shared" si="2"/>
        <v>10108</v>
      </c>
      <c r="H84" s="8" t="str">
        <f t="shared" si="3"/>
        <v>Safe</v>
      </c>
    </row>
    <row r="85" spans="1:8" x14ac:dyDescent="0.25">
      <c r="A85" t="s">
        <v>51</v>
      </c>
      <c r="B85" s="1" t="s">
        <v>120</v>
      </c>
      <c r="C85">
        <v>362</v>
      </c>
      <c r="D85">
        <v>337</v>
      </c>
      <c r="E85">
        <v>246</v>
      </c>
      <c r="F85" s="3">
        <f>VLOOKUP(A:A,Products!A:F,6,FALSE)</f>
        <v>154</v>
      </c>
      <c r="G85" s="8">
        <f t="shared" si="2"/>
        <v>55748</v>
      </c>
      <c r="H85" s="8" t="str">
        <f t="shared" si="3"/>
        <v>Safe</v>
      </c>
    </row>
    <row r="86" spans="1:8" x14ac:dyDescent="0.25">
      <c r="A86" t="s">
        <v>9</v>
      </c>
      <c r="B86" s="1" t="s">
        <v>118</v>
      </c>
      <c r="C86">
        <v>364</v>
      </c>
      <c r="D86">
        <v>334</v>
      </c>
      <c r="E86">
        <v>212</v>
      </c>
      <c r="F86" s="3">
        <f>VLOOKUP(A:A,Products!A:F,6,FALSE)</f>
        <v>157.5</v>
      </c>
      <c r="G86" s="8">
        <f t="shared" si="2"/>
        <v>57330</v>
      </c>
      <c r="H86" s="8" t="str">
        <f t="shared" si="3"/>
        <v>Safe</v>
      </c>
    </row>
    <row r="87" spans="1:8" x14ac:dyDescent="0.25">
      <c r="A87" t="s">
        <v>68</v>
      </c>
      <c r="B87" s="1" t="s">
        <v>125</v>
      </c>
      <c r="C87">
        <v>364</v>
      </c>
      <c r="D87">
        <v>309</v>
      </c>
      <c r="E87">
        <v>413</v>
      </c>
      <c r="F87" s="3">
        <f>VLOOKUP(A:A,Products!A:F,6,FALSE)</f>
        <v>80.5</v>
      </c>
      <c r="G87" s="8">
        <f t="shared" si="2"/>
        <v>29302</v>
      </c>
      <c r="H87" s="8" t="str">
        <f t="shared" si="3"/>
        <v>Safe</v>
      </c>
    </row>
    <row r="88" spans="1:8" x14ac:dyDescent="0.25">
      <c r="A88" t="s">
        <v>66</v>
      </c>
      <c r="B88" s="1" t="s">
        <v>122</v>
      </c>
      <c r="C88">
        <v>367</v>
      </c>
      <c r="D88">
        <v>343</v>
      </c>
      <c r="E88">
        <v>466</v>
      </c>
      <c r="F88" s="3">
        <f>VLOOKUP(A:A,Products!A:F,6,FALSE)</f>
        <v>69.3</v>
      </c>
      <c r="G88" s="8">
        <f t="shared" si="2"/>
        <v>25433.1</v>
      </c>
      <c r="H88" s="8" t="str">
        <f t="shared" si="3"/>
        <v>Safe</v>
      </c>
    </row>
    <row r="89" spans="1:8" x14ac:dyDescent="0.25">
      <c r="A89" t="s">
        <v>55</v>
      </c>
      <c r="B89" s="1" t="s">
        <v>120</v>
      </c>
      <c r="C89">
        <v>368</v>
      </c>
      <c r="D89">
        <v>251</v>
      </c>
      <c r="E89">
        <v>449</v>
      </c>
      <c r="F89" s="3">
        <f>VLOOKUP(A:A,Products!A:F,6,FALSE)</f>
        <v>21</v>
      </c>
      <c r="G89" s="8">
        <f t="shared" si="2"/>
        <v>7728</v>
      </c>
      <c r="H89" s="8" t="str">
        <f t="shared" si="3"/>
        <v>Safe</v>
      </c>
    </row>
    <row r="90" spans="1:8" x14ac:dyDescent="0.25">
      <c r="A90" t="s">
        <v>78</v>
      </c>
      <c r="B90" s="1" t="s">
        <v>118</v>
      </c>
      <c r="C90">
        <v>377</v>
      </c>
      <c r="D90">
        <v>271</v>
      </c>
      <c r="E90">
        <v>320</v>
      </c>
      <c r="F90" s="3">
        <f>VLOOKUP(A:A,Products!A:F,6,FALSE)</f>
        <v>147</v>
      </c>
      <c r="G90" s="8">
        <f t="shared" si="2"/>
        <v>55419</v>
      </c>
      <c r="H90" s="8" t="str">
        <f t="shared" si="3"/>
        <v>Safe</v>
      </c>
    </row>
    <row r="91" spans="1:8" x14ac:dyDescent="0.25">
      <c r="A91" t="s">
        <v>19</v>
      </c>
      <c r="B91" s="1" t="s">
        <v>125</v>
      </c>
      <c r="C91">
        <v>378</v>
      </c>
      <c r="D91">
        <v>273</v>
      </c>
      <c r="E91">
        <v>323</v>
      </c>
      <c r="F91" s="3">
        <f>VLOOKUP(A:A,Products!A:F,6,FALSE)</f>
        <v>31.499999999999996</v>
      </c>
      <c r="G91" s="8">
        <f t="shared" si="2"/>
        <v>11906.999999999998</v>
      </c>
      <c r="H91" s="8" t="str">
        <f t="shared" si="3"/>
        <v>Safe</v>
      </c>
    </row>
    <row r="92" spans="1:8" x14ac:dyDescent="0.25">
      <c r="A92" t="s">
        <v>74</v>
      </c>
      <c r="B92" s="1" t="s">
        <v>125</v>
      </c>
      <c r="C92">
        <v>378</v>
      </c>
      <c r="D92">
        <v>294</v>
      </c>
      <c r="E92">
        <v>365</v>
      </c>
      <c r="F92" s="3">
        <f>VLOOKUP(A:A,Products!A:F,6,FALSE)</f>
        <v>192.5</v>
      </c>
      <c r="G92" s="8">
        <f t="shared" si="2"/>
        <v>72765</v>
      </c>
      <c r="H92" s="8" t="str">
        <f t="shared" si="3"/>
        <v>Safe</v>
      </c>
    </row>
    <row r="93" spans="1:8" x14ac:dyDescent="0.25">
      <c r="A93" t="s">
        <v>38</v>
      </c>
      <c r="B93" s="1" t="s">
        <v>120</v>
      </c>
      <c r="C93">
        <v>390</v>
      </c>
      <c r="D93">
        <v>318</v>
      </c>
      <c r="E93">
        <v>201</v>
      </c>
      <c r="F93" s="3">
        <f>VLOOKUP(A:A,Products!A:F,6,FALSE)</f>
        <v>279.29999999999995</v>
      </c>
      <c r="G93" s="8">
        <f t="shared" si="2"/>
        <v>108926.99999999999</v>
      </c>
      <c r="H93" s="8" t="str">
        <f t="shared" si="3"/>
        <v>Safe</v>
      </c>
    </row>
    <row r="94" spans="1:8" x14ac:dyDescent="0.25">
      <c r="A94" t="s">
        <v>47</v>
      </c>
      <c r="B94" s="1" t="s">
        <v>125</v>
      </c>
      <c r="C94">
        <v>391</v>
      </c>
      <c r="D94">
        <v>320</v>
      </c>
      <c r="E94">
        <v>204</v>
      </c>
      <c r="F94" s="3">
        <f>VLOOKUP(A:A,Products!A:F,6,FALSE)</f>
        <v>84</v>
      </c>
      <c r="G94" s="8">
        <f t="shared" si="2"/>
        <v>32844</v>
      </c>
      <c r="H94" s="8" t="str">
        <f t="shared" si="3"/>
        <v>Safe</v>
      </c>
    </row>
    <row r="95" spans="1:8" x14ac:dyDescent="0.25">
      <c r="A95" t="s">
        <v>19</v>
      </c>
      <c r="B95" s="1" t="s">
        <v>122</v>
      </c>
      <c r="C95">
        <v>393</v>
      </c>
      <c r="D95">
        <v>280</v>
      </c>
      <c r="E95">
        <v>395</v>
      </c>
      <c r="F95" s="3">
        <f>VLOOKUP(A:A,Products!A:F,6,FALSE)</f>
        <v>31.499999999999996</v>
      </c>
      <c r="G95" s="8">
        <f t="shared" si="2"/>
        <v>12379.499999999998</v>
      </c>
      <c r="H95" s="8" t="str">
        <f t="shared" si="3"/>
        <v>Safe</v>
      </c>
    </row>
    <row r="96" spans="1:8" x14ac:dyDescent="0.25">
      <c r="A96" t="s">
        <v>27</v>
      </c>
      <c r="B96" s="1" t="s">
        <v>122</v>
      </c>
      <c r="C96">
        <v>393</v>
      </c>
      <c r="D96">
        <v>260</v>
      </c>
      <c r="E96">
        <v>212</v>
      </c>
      <c r="F96" s="3">
        <f>VLOOKUP(A:A,Products!A:F,6,FALSE)</f>
        <v>98</v>
      </c>
      <c r="G96" s="8">
        <f t="shared" si="2"/>
        <v>38514</v>
      </c>
      <c r="H96" s="8" t="str">
        <f t="shared" si="3"/>
        <v>Safe</v>
      </c>
    </row>
    <row r="97" spans="1:8" x14ac:dyDescent="0.25">
      <c r="A97" t="s">
        <v>82</v>
      </c>
      <c r="B97" s="1" t="s">
        <v>120</v>
      </c>
      <c r="C97">
        <v>393</v>
      </c>
      <c r="D97">
        <v>262</v>
      </c>
      <c r="E97">
        <v>455</v>
      </c>
      <c r="F97" s="3">
        <f>VLOOKUP(A:A,Products!A:F,6,FALSE)</f>
        <v>244.29999999999998</v>
      </c>
      <c r="G97" s="8">
        <f t="shared" si="2"/>
        <v>96009.9</v>
      </c>
      <c r="H97" s="8" t="str">
        <f t="shared" si="3"/>
        <v>Safe</v>
      </c>
    </row>
    <row r="98" spans="1:8" x14ac:dyDescent="0.25">
      <c r="A98" t="s">
        <v>40</v>
      </c>
      <c r="B98" s="1" t="s">
        <v>122</v>
      </c>
      <c r="C98">
        <v>394</v>
      </c>
      <c r="D98">
        <v>252</v>
      </c>
      <c r="E98">
        <v>324</v>
      </c>
      <c r="F98" s="3">
        <f>VLOOKUP(A:A,Products!A:F,6,FALSE)</f>
        <v>349.29999999999995</v>
      </c>
      <c r="G98" s="8">
        <f t="shared" si="2"/>
        <v>137624.19999999998</v>
      </c>
      <c r="H98" s="8" t="str">
        <f t="shared" si="3"/>
        <v>Safe</v>
      </c>
    </row>
    <row r="99" spans="1:8" x14ac:dyDescent="0.25">
      <c r="A99" t="s">
        <v>55</v>
      </c>
      <c r="B99" s="1" t="s">
        <v>125</v>
      </c>
      <c r="C99">
        <v>394</v>
      </c>
      <c r="D99">
        <v>339</v>
      </c>
      <c r="E99">
        <v>486</v>
      </c>
      <c r="F99" s="3">
        <f>VLOOKUP(A:A,Products!A:F,6,FALSE)</f>
        <v>21</v>
      </c>
      <c r="G99" s="8">
        <f t="shared" si="2"/>
        <v>8274</v>
      </c>
      <c r="H99" s="8" t="str">
        <f t="shared" si="3"/>
        <v>Safe</v>
      </c>
    </row>
    <row r="100" spans="1:8" x14ac:dyDescent="0.25">
      <c r="A100" t="s">
        <v>70</v>
      </c>
      <c r="B100" s="1" t="s">
        <v>125</v>
      </c>
      <c r="C100">
        <v>403</v>
      </c>
      <c r="D100">
        <v>300</v>
      </c>
      <c r="E100">
        <v>250</v>
      </c>
      <c r="F100" s="3">
        <f>VLOOKUP(A:A,Products!A:F,6,FALSE)</f>
        <v>84</v>
      </c>
      <c r="G100" s="8">
        <f t="shared" si="2"/>
        <v>33852</v>
      </c>
      <c r="H100" s="8" t="str">
        <f t="shared" si="3"/>
        <v>Safe</v>
      </c>
    </row>
    <row r="101" spans="1:8" x14ac:dyDescent="0.25">
      <c r="A101" t="s">
        <v>34</v>
      </c>
      <c r="B101" s="1" t="s">
        <v>118</v>
      </c>
      <c r="C101">
        <v>405</v>
      </c>
      <c r="D101">
        <v>281</v>
      </c>
      <c r="E101">
        <v>456</v>
      </c>
      <c r="F101" s="3">
        <f>VLOOKUP(A:A,Products!A:F,6,FALSE)</f>
        <v>125.99999999999999</v>
      </c>
      <c r="G101" s="8">
        <f t="shared" si="2"/>
        <v>51029.999999999993</v>
      </c>
      <c r="H101" s="8" t="str">
        <f t="shared" si="3"/>
        <v>Safe</v>
      </c>
    </row>
    <row r="102" spans="1:8" x14ac:dyDescent="0.25">
      <c r="A102" t="s">
        <v>4</v>
      </c>
      <c r="B102" s="1" t="s">
        <v>122</v>
      </c>
      <c r="C102">
        <v>407</v>
      </c>
      <c r="D102">
        <v>338</v>
      </c>
      <c r="E102">
        <v>498</v>
      </c>
      <c r="F102" s="3">
        <f>VLOOKUP(A:A,Products!A:F,6,FALSE)</f>
        <v>139.29999999999998</v>
      </c>
      <c r="G102" s="8">
        <f t="shared" si="2"/>
        <v>56695.099999999991</v>
      </c>
      <c r="H102" s="8" t="str">
        <f t="shared" si="3"/>
        <v>Safe</v>
      </c>
    </row>
    <row r="103" spans="1:8" x14ac:dyDescent="0.25">
      <c r="A103" t="s">
        <v>49</v>
      </c>
      <c r="B103" s="1" t="s">
        <v>122</v>
      </c>
      <c r="C103">
        <v>407</v>
      </c>
      <c r="D103">
        <v>319</v>
      </c>
      <c r="E103">
        <v>418</v>
      </c>
      <c r="F103" s="3">
        <f>VLOOKUP(A:A,Products!A:F,6,FALSE)</f>
        <v>104.3</v>
      </c>
      <c r="G103" s="8">
        <f t="shared" si="2"/>
        <v>42450.1</v>
      </c>
      <c r="H103" s="8" t="str">
        <f t="shared" si="3"/>
        <v>Safe</v>
      </c>
    </row>
    <row r="104" spans="1:8" x14ac:dyDescent="0.25">
      <c r="A104" t="s">
        <v>13</v>
      </c>
      <c r="B104" s="1" t="s">
        <v>120</v>
      </c>
      <c r="C104">
        <v>416</v>
      </c>
      <c r="D104">
        <v>328</v>
      </c>
      <c r="E104">
        <v>480</v>
      </c>
      <c r="F104" s="3">
        <f>VLOOKUP(A:A,Products!A:F,6,FALSE)</f>
        <v>314.29999999999995</v>
      </c>
      <c r="G104" s="8">
        <f t="shared" si="2"/>
        <v>130748.79999999999</v>
      </c>
      <c r="H104" s="8" t="str">
        <f t="shared" si="3"/>
        <v>Safe</v>
      </c>
    </row>
    <row r="105" spans="1:8" x14ac:dyDescent="0.25">
      <c r="A105" t="s">
        <v>72</v>
      </c>
      <c r="B105" s="1" t="s">
        <v>118</v>
      </c>
      <c r="C105">
        <v>416</v>
      </c>
      <c r="D105">
        <v>309</v>
      </c>
      <c r="E105">
        <v>493</v>
      </c>
      <c r="F105" s="3">
        <f>VLOOKUP(A:A,Products!A:F,6,FALSE)</f>
        <v>174.29999999999998</v>
      </c>
      <c r="G105" s="8">
        <f t="shared" si="2"/>
        <v>72508.799999999988</v>
      </c>
      <c r="H105" s="8" t="str">
        <f t="shared" si="3"/>
        <v>Safe</v>
      </c>
    </row>
    <row r="106" spans="1:8" x14ac:dyDescent="0.25">
      <c r="A106" t="s">
        <v>21</v>
      </c>
      <c r="B106" s="1" t="s">
        <v>118</v>
      </c>
      <c r="C106">
        <v>420</v>
      </c>
      <c r="D106">
        <v>265</v>
      </c>
      <c r="E106">
        <v>355</v>
      </c>
      <c r="F106" s="3">
        <f>VLOOKUP(A:A,Products!A:F,6,FALSE)</f>
        <v>28</v>
      </c>
      <c r="G106" s="8">
        <f t="shared" si="2"/>
        <v>11760</v>
      </c>
      <c r="H106" s="8" t="str">
        <f t="shared" si="3"/>
        <v>Safe</v>
      </c>
    </row>
    <row r="107" spans="1:8" x14ac:dyDescent="0.25">
      <c r="A107" t="s">
        <v>66</v>
      </c>
      <c r="B107" s="1" t="s">
        <v>120</v>
      </c>
      <c r="C107">
        <v>423</v>
      </c>
      <c r="D107">
        <v>293</v>
      </c>
      <c r="E107">
        <v>362</v>
      </c>
      <c r="F107" s="3">
        <f>VLOOKUP(A:A,Products!A:F,6,FALSE)</f>
        <v>69.3</v>
      </c>
      <c r="G107" s="8">
        <f t="shared" si="2"/>
        <v>29313.899999999998</v>
      </c>
      <c r="H107" s="8" t="str">
        <f t="shared" si="3"/>
        <v>Safe</v>
      </c>
    </row>
    <row r="108" spans="1:8" x14ac:dyDescent="0.25">
      <c r="A108" t="s">
        <v>82</v>
      </c>
      <c r="B108" s="1" t="s">
        <v>122</v>
      </c>
      <c r="C108">
        <v>424</v>
      </c>
      <c r="D108">
        <v>275</v>
      </c>
      <c r="E108">
        <v>255</v>
      </c>
      <c r="F108" s="3">
        <f>VLOOKUP(A:A,Products!A:F,6,FALSE)</f>
        <v>244.29999999999998</v>
      </c>
      <c r="G108" s="8">
        <f t="shared" si="2"/>
        <v>103583.2</v>
      </c>
      <c r="H108" s="8" t="str">
        <f t="shared" si="3"/>
        <v>Safe</v>
      </c>
    </row>
    <row r="109" spans="1:8" x14ac:dyDescent="0.25">
      <c r="A109" t="s">
        <v>7</v>
      </c>
      <c r="B109" s="1" t="s">
        <v>125</v>
      </c>
      <c r="C109">
        <v>428</v>
      </c>
      <c r="D109">
        <v>252</v>
      </c>
      <c r="E109">
        <v>313</v>
      </c>
      <c r="F109" s="3">
        <f>VLOOKUP(A:A,Products!A:F,6,FALSE)</f>
        <v>129.5</v>
      </c>
      <c r="G109" s="8">
        <f t="shared" si="2"/>
        <v>55426</v>
      </c>
      <c r="H109" s="8" t="str">
        <f t="shared" si="3"/>
        <v>Safe</v>
      </c>
    </row>
    <row r="110" spans="1:8" x14ac:dyDescent="0.25">
      <c r="A110" t="s">
        <v>23</v>
      </c>
      <c r="B110" s="1" t="s">
        <v>125</v>
      </c>
      <c r="C110">
        <v>429</v>
      </c>
      <c r="D110">
        <v>314</v>
      </c>
      <c r="E110">
        <v>345</v>
      </c>
      <c r="F110" s="3">
        <f>VLOOKUP(A:A,Products!A:F,6,FALSE)</f>
        <v>31.499999999999996</v>
      </c>
      <c r="G110" s="8">
        <f t="shared" si="2"/>
        <v>13513.499999999998</v>
      </c>
      <c r="H110" s="8" t="str">
        <f t="shared" si="3"/>
        <v>Safe</v>
      </c>
    </row>
    <row r="111" spans="1:8" x14ac:dyDescent="0.25">
      <c r="A111" t="s">
        <v>59</v>
      </c>
      <c r="B111" s="1" t="s">
        <v>122</v>
      </c>
      <c r="C111">
        <v>429</v>
      </c>
      <c r="D111">
        <v>323</v>
      </c>
      <c r="E111">
        <v>398</v>
      </c>
      <c r="F111" s="3">
        <f>VLOOKUP(A:A,Products!A:F,6,FALSE)</f>
        <v>69.3</v>
      </c>
      <c r="G111" s="8">
        <f t="shared" si="2"/>
        <v>29729.699999999997</v>
      </c>
      <c r="H111" s="8" t="str">
        <f t="shared" si="3"/>
        <v>Safe</v>
      </c>
    </row>
    <row r="112" spans="1:8" x14ac:dyDescent="0.25">
      <c r="A112" t="s">
        <v>13</v>
      </c>
      <c r="B112" s="1" t="s">
        <v>118</v>
      </c>
      <c r="C112">
        <v>430</v>
      </c>
      <c r="D112">
        <v>274</v>
      </c>
      <c r="E112">
        <v>443</v>
      </c>
      <c r="F112" s="3">
        <f>VLOOKUP(A:A,Products!A:F,6,FALSE)</f>
        <v>314.29999999999995</v>
      </c>
      <c r="G112" s="8">
        <f t="shared" si="2"/>
        <v>135148.99999999997</v>
      </c>
      <c r="H112" s="8" t="str">
        <f t="shared" si="3"/>
        <v>Safe</v>
      </c>
    </row>
    <row r="113" spans="1:8" x14ac:dyDescent="0.25">
      <c r="A113" t="s">
        <v>19</v>
      </c>
      <c r="B113" s="1" t="s">
        <v>118</v>
      </c>
      <c r="C113">
        <v>432</v>
      </c>
      <c r="D113">
        <v>275</v>
      </c>
      <c r="E113">
        <v>222</v>
      </c>
      <c r="F113" s="3">
        <f>VLOOKUP(A:A,Products!A:F,6,FALSE)</f>
        <v>31.499999999999996</v>
      </c>
      <c r="G113" s="8">
        <f t="shared" si="2"/>
        <v>13607.999999999998</v>
      </c>
      <c r="H113" s="8" t="str">
        <f t="shared" si="3"/>
        <v>Safe</v>
      </c>
    </row>
    <row r="114" spans="1:8" x14ac:dyDescent="0.25">
      <c r="A114" t="s">
        <v>78</v>
      </c>
      <c r="B114" s="1" t="s">
        <v>120</v>
      </c>
      <c r="C114">
        <v>434</v>
      </c>
      <c r="D114">
        <v>325</v>
      </c>
      <c r="E114">
        <v>397</v>
      </c>
      <c r="F114" s="3">
        <f>VLOOKUP(A:A,Products!A:F,6,FALSE)</f>
        <v>147</v>
      </c>
      <c r="G114" s="8">
        <f t="shared" si="2"/>
        <v>63798</v>
      </c>
      <c r="H114" s="8" t="str">
        <f t="shared" si="3"/>
        <v>Safe</v>
      </c>
    </row>
    <row r="115" spans="1:8" x14ac:dyDescent="0.25">
      <c r="A115" t="s">
        <v>17</v>
      </c>
      <c r="B115" s="1" t="s">
        <v>118</v>
      </c>
      <c r="C115">
        <v>435</v>
      </c>
      <c r="D115">
        <v>315</v>
      </c>
      <c r="E115">
        <v>366</v>
      </c>
      <c r="F115" s="3">
        <f>VLOOKUP(A:A,Products!A:F,6,FALSE)</f>
        <v>262.5</v>
      </c>
      <c r="G115" s="8">
        <f t="shared" si="2"/>
        <v>114187.5</v>
      </c>
      <c r="H115" s="8" t="str">
        <f t="shared" si="3"/>
        <v>Safe</v>
      </c>
    </row>
    <row r="116" spans="1:8" x14ac:dyDescent="0.25">
      <c r="A116" t="s">
        <v>42</v>
      </c>
      <c r="B116" s="1" t="s">
        <v>125</v>
      </c>
      <c r="C116">
        <v>435</v>
      </c>
      <c r="D116">
        <v>266</v>
      </c>
      <c r="E116">
        <v>266</v>
      </c>
      <c r="F116" s="3">
        <f>VLOOKUP(A:A,Products!A:F,6,FALSE)</f>
        <v>28</v>
      </c>
      <c r="G116" s="8">
        <f t="shared" si="2"/>
        <v>12180</v>
      </c>
      <c r="H116" s="8" t="str">
        <f t="shared" si="3"/>
        <v>Safe</v>
      </c>
    </row>
    <row r="117" spans="1:8" x14ac:dyDescent="0.25">
      <c r="A117" t="s">
        <v>45</v>
      </c>
      <c r="B117" s="1" t="s">
        <v>125</v>
      </c>
      <c r="C117">
        <v>436</v>
      </c>
      <c r="D117">
        <v>339</v>
      </c>
      <c r="E117">
        <v>449</v>
      </c>
      <c r="F117" s="3">
        <f>VLOOKUP(A:A,Products!A:F,6,FALSE)</f>
        <v>42</v>
      </c>
      <c r="G117" s="8">
        <f t="shared" si="2"/>
        <v>18312</v>
      </c>
      <c r="H117" s="8" t="str">
        <f t="shared" si="3"/>
        <v>Safe</v>
      </c>
    </row>
    <row r="118" spans="1:8" x14ac:dyDescent="0.25">
      <c r="A118" t="s">
        <v>9</v>
      </c>
      <c r="B118" s="1" t="s">
        <v>122</v>
      </c>
      <c r="C118">
        <v>437</v>
      </c>
      <c r="D118">
        <v>311</v>
      </c>
      <c r="E118">
        <v>407</v>
      </c>
      <c r="F118" s="3">
        <f>VLOOKUP(A:A,Products!A:F,6,FALSE)</f>
        <v>157.5</v>
      </c>
      <c r="G118" s="8">
        <f t="shared" si="2"/>
        <v>68827.5</v>
      </c>
      <c r="H118" s="8" t="str">
        <f t="shared" si="3"/>
        <v>Safe</v>
      </c>
    </row>
    <row r="119" spans="1:8" x14ac:dyDescent="0.25">
      <c r="A119" t="s">
        <v>4</v>
      </c>
      <c r="B119" s="1" t="s">
        <v>118</v>
      </c>
      <c r="C119">
        <v>440</v>
      </c>
      <c r="D119">
        <v>277</v>
      </c>
      <c r="E119">
        <v>337</v>
      </c>
      <c r="F119" s="3">
        <f>VLOOKUP(A:A,Products!A:F,6,FALSE)</f>
        <v>139.29999999999998</v>
      </c>
      <c r="G119" s="8">
        <f t="shared" si="2"/>
        <v>61291.999999999993</v>
      </c>
      <c r="H119" s="8" t="str">
        <f t="shared" si="3"/>
        <v>Safe</v>
      </c>
    </row>
    <row r="120" spans="1:8" x14ac:dyDescent="0.25">
      <c r="A120" t="s">
        <v>11</v>
      </c>
      <c r="B120" s="1" t="s">
        <v>125</v>
      </c>
      <c r="C120">
        <v>443</v>
      </c>
      <c r="D120">
        <v>320</v>
      </c>
      <c r="E120">
        <v>345</v>
      </c>
      <c r="F120" s="3">
        <f>VLOOKUP(A:A,Products!A:F,6,FALSE)</f>
        <v>279.29999999999995</v>
      </c>
      <c r="G120" s="8">
        <f t="shared" si="2"/>
        <v>123729.89999999998</v>
      </c>
      <c r="H120" s="8" t="str">
        <f t="shared" si="3"/>
        <v>Safe</v>
      </c>
    </row>
    <row r="121" spans="1:8" x14ac:dyDescent="0.25">
      <c r="A121" t="s">
        <v>45</v>
      </c>
      <c r="B121" s="1" t="s">
        <v>122</v>
      </c>
      <c r="C121">
        <v>443</v>
      </c>
      <c r="D121">
        <v>256</v>
      </c>
      <c r="E121">
        <v>435</v>
      </c>
      <c r="F121" s="3">
        <f>VLOOKUP(A:A,Products!A:F,6,FALSE)</f>
        <v>42</v>
      </c>
      <c r="G121" s="8">
        <f t="shared" si="2"/>
        <v>18606</v>
      </c>
      <c r="H121" s="8" t="str">
        <f t="shared" si="3"/>
        <v>Safe</v>
      </c>
    </row>
    <row r="122" spans="1:8" x14ac:dyDescent="0.25">
      <c r="A122" t="s">
        <v>38</v>
      </c>
      <c r="B122" s="1" t="s">
        <v>118</v>
      </c>
      <c r="C122">
        <v>452</v>
      </c>
      <c r="D122">
        <v>345</v>
      </c>
      <c r="E122">
        <v>480</v>
      </c>
      <c r="F122" s="3">
        <f>VLOOKUP(A:A,Products!A:F,6,FALSE)</f>
        <v>279.29999999999995</v>
      </c>
      <c r="G122" s="8">
        <f t="shared" si="2"/>
        <v>126243.59999999998</v>
      </c>
      <c r="H122" s="8" t="str">
        <f t="shared" si="3"/>
        <v>Safe</v>
      </c>
    </row>
    <row r="123" spans="1:8" x14ac:dyDescent="0.25">
      <c r="A123" t="s">
        <v>74</v>
      </c>
      <c r="B123" s="1" t="s">
        <v>118</v>
      </c>
      <c r="C123">
        <v>452</v>
      </c>
      <c r="D123">
        <v>313</v>
      </c>
      <c r="E123">
        <v>330</v>
      </c>
      <c r="F123" s="3">
        <f>VLOOKUP(A:A,Products!A:F,6,FALSE)</f>
        <v>192.5</v>
      </c>
      <c r="G123" s="8">
        <f t="shared" si="2"/>
        <v>87010</v>
      </c>
      <c r="H123" s="8" t="str">
        <f t="shared" si="3"/>
        <v>Safe</v>
      </c>
    </row>
    <row r="124" spans="1:8" x14ac:dyDescent="0.25">
      <c r="A124" t="s">
        <v>66</v>
      </c>
      <c r="B124" s="1" t="s">
        <v>118</v>
      </c>
      <c r="C124">
        <v>453</v>
      </c>
      <c r="D124">
        <v>251</v>
      </c>
      <c r="E124">
        <v>345</v>
      </c>
      <c r="F124" s="3">
        <f>VLOOKUP(A:A,Products!A:F,6,FALSE)</f>
        <v>69.3</v>
      </c>
      <c r="G124" s="8">
        <f t="shared" si="2"/>
        <v>31392.899999999998</v>
      </c>
      <c r="H124" s="8" t="str">
        <f t="shared" si="3"/>
        <v>Safe</v>
      </c>
    </row>
    <row r="125" spans="1:8" x14ac:dyDescent="0.25">
      <c r="A125" t="s">
        <v>74</v>
      </c>
      <c r="B125" s="1" t="s">
        <v>122</v>
      </c>
      <c r="C125">
        <v>454</v>
      </c>
      <c r="D125">
        <v>276</v>
      </c>
      <c r="E125">
        <v>288</v>
      </c>
      <c r="F125" s="3">
        <f>VLOOKUP(A:A,Products!A:F,6,FALSE)</f>
        <v>192.5</v>
      </c>
      <c r="G125" s="8">
        <f t="shared" si="2"/>
        <v>87395</v>
      </c>
      <c r="H125" s="8" t="str">
        <f t="shared" si="3"/>
        <v>Safe</v>
      </c>
    </row>
    <row r="126" spans="1:8" x14ac:dyDescent="0.25">
      <c r="A126" t="s">
        <v>57</v>
      </c>
      <c r="B126" s="1" t="s">
        <v>125</v>
      </c>
      <c r="C126">
        <v>455</v>
      </c>
      <c r="D126">
        <v>254</v>
      </c>
      <c r="E126">
        <v>317</v>
      </c>
      <c r="F126" s="3">
        <f>VLOOKUP(A:A,Products!A:F,6,FALSE)</f>
        <v>31.499999999999996</v>
      </c>
      <c r="G126" s="8">
        <f t="shared" si="2"/>
        <v>14332.499999999998</v>
      </c>
      <c r="H126" s="8" t="str">
        <f t="shared" si="3"/>
        <v>Safe</v>
      </c>
    </row>
    <row r="127" spans="1:8" x14ac:dyDescent="0.25">
      <c r="A127" t="s">
        <v>49</v>
      </c>
      <c r="B127" s="1" t="s">
        <v>118</v>
      </c>
      <c r="C127">
        <v>460</v>
      </c>
      <c r="D127">
        <v>299</v>
      </c>
      <c r="E127">
        <v>255</v>
      </c>
      <c r="F127" s="3">
        <f>VLOOKUP(A:A,Products!A:F,6,FALSE)</f>
        <v>104.3</v>
      </c>
      <c r="G127" s="8">
        <f t="shared" si="2"/>
        <v>47978</v>
      </c>
      <c r="H127" s="8" t="str">
        <f t="shared" si="3"/>
        <v>Safe</v>
      </c>
    </row>
    <row r="128" spans="1:8" x14ac:dyDescent="0.25">
      <c r="A128" t="s">
        <v>84</v>
      </c>
      <c r="B128" s="1" t="s">
        <v>118</v>
      </c>
      <c r="C128">
        <v>462</v>
      </c>
      <c r="D128">
        <v>298</v>
      </c>
      <c r="E128">
        <v>389</v>
      </c>
      <c r="F128" s="3">
        <f>VLOOKUP(A:A,Products!A:F,6,FALSE)</f>
        <v>279.29999999999995</v>
      </c>
      <c r="G128" s="8">
        <f t="shared" si="2"/>
        <v>129036.59999999998</v>
      </c>
      <c r="H128" s="8" t="str">
        <f t="shared" si="3"/>
        <v>Safe</v>
      </c>
    </row>
    <row r="129" spans="1:8" x14ac:dyDescent="0.25">
      <c r="A129" t="s">
        <v>51</v>
      </c>
      <c r="B129" s="1" t="s">
        <v>118</v>
      </c>
      <c r="C129">
        <v>463</v>
      </c>
      <c r="D129">
        <v>329</v>
      </c>
      <c r="E129">
        <v>311</v>
      </c>
      <c r="F129" s="3">
        <f>VLOOKUP(A:A,Products!A:F,6,FALSE)</f>
        <v>154</v>
      </c>
      <c r="G129" s="8">
        <f t="shared" si="2"/>
        <v>71302</v>
      </c>
      <c r="H129" s="8" t="str">
        <f t="shared" si="3"/>
        <v>Safe</v>
      </c>
    </row>
    <row r="130" spans="1:8" x14ac:dyDescent="0.25">
      <c r="A130" t="s">
        <v>57</v>
      </c>
      <c r="B130" s="1" t="s">
        <v>122</v>
      </c>
      <c r="C130">
        <v>463</v>
      </c>
      <c r="D130">
        <v>265</v>
      </c>
      <c r="E130">
        <v>357</v>
      </c>
      <c r="F130" s="3">
        <f>VLOOKUP(A:A,Products!A:F,6,FALSE)</f>
        <v>31.499999999999996</v>
      </c>
      <c r="G130" s="8">
        <f t="shared" si="2"/>
        <v>14584.499999999998</v>
      </c>
      <c r="H130" s="8" t="str">
        <f t="shared" si="3"/>
        <v>Safe</v>
      </c>
    </row>
    <row r="131" spans="1:8" x14ac:dyDescent="0.25">
      <c r="A131" t="s">
        <v>51</v>
      </c>
      <c r="B131" s="1" t="s">
        <v>125</v>
      </c>
      <c r="C131">
        <v>464</v>
      </c>
      <c r="D131">
        <v>337</v>
      </c>
      <c r="E131">
        <v>421</v>
      </c>
      <c r="F131" s="3">
        <f>VLOOKUP(A:A,Products!A:F,6,FALSE)</f>
        <v>154</v>
      </c>
      <c r="G131" s="8">
        <f t="shared" ref="G131:G150" si="4">C131*F131</f>
        <v>71456</v>
      </c>
      <c r="H131" s="8" t="str">
        <f t="shared" ref="H131:H150" si="5">IF(C131&lt;D131,"High Risk","Safe")</f>
        <v>Safe</v>
      </c>
    </row>
    <row r="132" spans="1:8" x14ac:dyDescent="0.25">
      <c r="A132" t="s">
        <v>59</v>
      </c>
      <c r="B132" s="1" t="s">
        <v>118</v>
      </c>
      <c r="C132">
        <v>464</v>
      </c>
      <c r="D132">
        <v>273</v>
      </c>
      <c r="E132">
        <v>216</v>
      </c>
      <c r="F132" s="3">
        <f>VLOOKUP(A:A,Products!A:F,6,FALSE)</f>
        <v>69.3</v>
      </c>
      <c r="G132" s="8">
        <f t="shared" si="4"/>
        <v>32155.199999999997</v>
      </c>
      <c r="H132" s="8" t="str">
        <f t="shared" si="5"/>
        <v>Safe</v>
      </c>
    </row>
    <row r="133" spans="1:8" x14ac:dyDescent="0.25">
      <c r="A133" t="s">
        <v>40</v>
      </c>
      <c r="B133" s="1" t="s">
        <v>120</v>
      </c>
      <c r="C133">
        <v>466</v>
      </c>
      <c r="D133">
        <v>281</v>
      </c>
      <c r="E133">
        <v>338</v>
      </c>
      <c r="F133" s="3">
        <f>VLOOKUP(A:A,Products!A:F,6,FALSE)</f>
        <v>349.29999999999995</v>
      </c>
      <c r="G133" s="8">
        <f t="shared" si="4"/>
        <v>162773.79999999999</v>
      </c>
      <c r="H133" s="8" t="str">
        <f t="shared" si="5"/>
        <v>Safe</v>
      </c>
    </row>
    <row r="134" spans="1:8" x14ac:dyDescent="0.25">
      <c r="A134" t="s">
        <v>27</v>
      </c>
      <c r="B134" s="1" t="s">
        <v>118</v>
      </c>
      <c r="C134">
        <v>468</v>
      </c>
      <c r="D134">
        <v>310</v>
      </c>
      <c r="E134">
        <v>358</v>
      </c>
      <c r="F134" s="3">
        <f>VLOOKUP(A:A,Products!A:F,6,FALSE)</f>
        <v>98</v>
      </c>
      <c r="G134" s="8">
        <f t="shared" si="4"/>
        <v>45864</v>
      </c>
      <c r="H134" s="8" t="str">
        <f t="shared" si="5"/>
        <v>Safe</v>
      </c>
    </row>
    <row r="135" spans="1:8" x14ac:dyDescent="0.25">
      <c r="A135" t="s">
        <v>27</v>
      </c>
      <c r="B135" s="1" t="s">
        <v>125</v>
      </c>
      <c r="C135">
        <v>468</v>
      </c>
      <c r="D135">
        <v>252</v>
      </c>
      <c r="E135">
        <v>285</v>
      </c>
      <c r="F135" s="3">
        <f>VLOOKUP(A:A,Products!A:F,6,FALSE)</f>
        <v>98</v>
      </c>
      <c r="G135" s="8">
        <f t="shared" si="4"/>
        <v>45864</v>
      </c>
      <c r="H135" s="8" t="str">
        <f t="shared" si="5"/>
        <v>Safe</v>
      </c>
    </row>
    <row r="136" spans="1:8" x14ac:dyDescent="0.25">
      <c r="A136" t="s">
        <v>80</v>
      </c>
      <c r="B136" s="1" t="s">
        <v>122</v>
      </c>
      <c r="C136">
        <v>468</v>
      </c>
      <c r="D136">
        <v>252</v>
      </c>
      <c r="E136">
        <v>458</v>
      </c>
      <c r="F136" s="3">
        <f>VLOOKUP(A:A,Products!A:F,6,FALSE)</f>
        <v>105</v>
      </c>
      <c r="G136" s="8">
        <f t="shared" si="4"/>
        <v>49140</v>
      </c>
      <c r="H136" s="8" t="str">
        <f t="shared" si="5"/>
        <v>Safe</v>
      </c>
    </row>
    <row r="137" spans="1:8" x14ac:dyDescent="0.25">
      <c r="A137" t="s">
        <v>36</v>
      </c>
      <c r="B137" s="1" t="s">
        <v>125</v>
      </c>
      <c r="C137">
        <v>470</v>
      </c>
      <c r="D137">
        <v>295</v>
      </c>
      <c r="E137">
        <v>285</v>
      </c>
      <c r="F137" s="3">
        <f>VLOOKUP(A:A,Products!A:F,6,FALSE)</f>
        <v>297.5</v>
      </c>
      <c r="G137" s="8">
        <f t="shared" si="4"/>
        <v>139825</v>
      </c>
      <c r="H137" s="8" t="str">
        <f t="shared" si="5"/>
        <v>Safe</v>
      </c>
    </row>
    <row r="138" spans="1:8" x14ac:dyDescent="0.25">
      <c r="A138" t="s">
        <v>76</v>
      </c>
      <c r="B138" s="1" t="s">
        <v>122</v>
      </c>
      <c r="C138">
        <v>473</v>
      </c>
      <c r="D138">
        <v>250</v>
      </c>
      <c r="E138">
        <v>215</v>
      </c>
      <c r="F138" s="3">
        <f>VLOOKUP(A:A,Products!A:F,6,FALSE)</f>
        <v>112</v>
      </c>
      <c r="G138" s="8">
        <f t="shared" si="4"/>
        <v>52976</v>
      </c>
      <c r="H138" s="8" t="str">
        <f t="shared" si="5"/>
        <v>Safe</v>
      </c>
    </row>
    <row r="139" spans="1:8" x14ac:dyDescent="0.25">
      <c r="A139" t="s">
        <v>59</v>
      </c>
      <c r="B139" s="1" t="s">
        <v>125</v>
      </c>
      <c r="C139">
        <v>476</v>
      </c>
      <c r="D139">
        <v>291</v>
      </c>
      <c r="E139">
        <v>438</v>
      </c>
      <c r="F139" s="3">
        <f>VLOOKUP(A:A,Products!A:F,6,FALSE)</f>
        <v>69.3</v>
      </c>
      <c r="G139" s="8">
        <f t="shared" si="4"/>
        <v>32986.799999999996</v>
      </c>
      <c r="H139" s="8" t="str">
        <f t="shared" si="5"/>
        <v>Safe</v>
      </c>
    </row>
    <row r="140" spans="1:8" x14ac:dyDescent="0.25">
      <c r="A140" t="s">
        <v>68</v>
      </c>
      <c r="B140" s="1" t="s">
        <v>118</v>
      </c>
      <c r="C140">
        <v>478</v>
      </c>
      <c r="D140">
        <v>316</v>
      </c>
      <c r="E140">
        <v>269</v>
      </c>
      <c r="F140" s="3">
        <f>VLOOKUP(A:A,Products!A:F,6,FALSE)</f>
        <v>80.5</v>
      </c>
      <c r="G140" s="8">
        <f t="shared" si="4"/>
        <v>38479</v>
      </c>
      <c r="H140" s="8" t="str">
        <f t="shared" si="5"/>
        <v>Safe</v>
      </c>
    </row>
    <row r="141" spans="1:8" x14ac:dyDescent="0.25">
      <c r="A141" t="s">
        <v>53</v>
      </c>
      <c r="B141" s="1" t="s">
        <v>118</v>
      </c>
      <c r="C141">
        <v>482</v>
      </c>
      <c r="D141">
        <v>308</v>
      </c>
      <c r="E141">
        <v>459</v>
      </c>
      <c r="F141" s="3">
        <f>VLOOKUP(A:A,Products!A:F,6,FALSE)</f>
        <v>35</v>
      </c>
      <c r="G141" s="8">
        <f t="shared" si="4"/>
        <v>16870</v>
      </c>
      <c r="H141" s="8" t="str">
        <f t="shared" si="5"/>
        <v>Safe</v>
      </c>
    </row>
    <row r="142" spans="1:8" x14ac:dyDescent="0.25">
      <c r="A142" t="s">
        <v>78</v>
      </c>
      <c r="B142" s="1" t="s">
        <v>125</v>
      </c>
      <c r="C142">
        <v>482</v>
      </c>
      <c r="D142">
        <v>319</v>
      </c>
      <c r="E142">
        <v>342</v>
      </c>
      <c r="F142" s="3">
        <f>VLOOKUP(A:A,Products!A:F,6,FALSE)</f>
        <v>147</v>
      </c>
      <c r="G142" s="8">
        <f t="shared" si="4"/>
        <v>70854</v>
      </c>
      <c r="H142" s="8" t="str">
        <f t="shared" si="5"/>
        <v>Safe</v>
      </c>
    </row>
    <row r="143" spans="1:8" x14ac:dyDescent="0.25">
      <c r="A143" t="s">
        <v>76</v>
      </c>
      <c r="B143" s="1" t="s">
        <v>125</v>
      </c>
      <c r="C143">
        <v>486</v>
      </c>
      <c r="D143">
        <v>269</v>
      </c>
      <c r="E143">
        <v>321</v>
      </c>
      <c r="F143" s="3">
        <f>VLOOKUP(A:A,Products!A:F,6,FALSE)</f>
        <v>112</v>
      </c>
      <c r="G143" s="8">
        <f t="shared" si="4"/>
        <v>54432</v>
      </c>
      <c r="H143" s="8" t="str">
        <f t="shared" si="5"/>
        <v>Safe</v>
      </c>
    </row>
    <row r="144" spans="1:8" x14ac:dyDescent="0.25">
      <c r="A144" t="s">
        <v>29</v>
      </c>
      <c r="B144" s="1" t="s">
        <v>122</v>
      </c>
      <c r="C144">
        <v>489</v>
      </c>
      <c r="D144">
        <v>251</v>
      </c>
      <c r="E144">
        <v>426</v>
      </c>
      <c r="F144" s="3">
        <f>VLOOKUP(A:A,Products!A:F,6,FALSE)</f>
        <v>104.3</v>
      </c>
      <c r="G144" s="8">
        <f t="shared" si="4"/>
        <v>51002.7</v>
      </c>
      <c r="H144" s="8" t="str">
        <f t="shared" si="5"/>
        <v>Safe</v>
      </c>
    </row>
    <row r="145" spans="1:8" x14ac:dyDescent="0.25">
      <c r="A145" t="s">
        <v>61</v>
      </c>
      <c r="B145" s="1" t="s">
        <v>122</v>
      </c>
      <c r="C145">
        <v>491</v>
      </c>
      <c r="D145">
        <v>326</v>
      </c>
      <c r="E145">
        <v>412</v>
      </c>
      <c r="F145" s="3">
        <f>VLOOKUP(A:A,Products!A:F,6,FALSE)</f>
        <v>80.5</v>
      </c>
      <c r="G145" s="8">
        <f t="shared" si="4"/>
        <v>39525.5</v>
      </c>
      <c r="H145" s="8" t="str">
        <f t="shared" si="5"/>
        <v>Safe</v>
      </c>
    </row>
    <row r="146" spans="1:8" x14ac:dyDescent="0.25">
      <c r="A146" t="s">
        <v>63</v>
      </c>
      <c r="B146" s="1" t="s">
        <v>122</v>
      </c>
      <c r="C146">
        <v>491</v>
      </c>
      <c r="D146">
        <v>279</v>
      </c>
      <c r="E146">
        <v>203</v>
      </c>
      <c r="F146" s="3">
        <f>VLOOKUP(A:A,Products!A:F,6,FALSE)</f>
        <v>87.5</v>
      </c>
      <c r="G146" s="8">
        <f t="shared" si="4"/>
        <v>42962.5</v>
      </c>
      <c r="H146" s="8" t="str">
        <f t="shared" si="5"/>
        <v>Safe</v>
      </c>
    </row>
    <row r="147" spans="1:8" x14ac:dyDescent="0.25">
      <c r="A147" t="s">
        <v>17</v>
      </c>
      <c r="B147" s="1" t="s">
        <v>120</v>
      </c>
      <c r="C147">
        <v>494</v>
      </c>
      <c r="D147">
        <v>297</v>
      </c>
      <c r="E147">
        <v>455</v>
      </c>
      <c r="F147" s="3">
        <f>VLOOKUP(A:A,Products!A:F,6,FALSE)</f>
        <v>262.5</v>
      </c>
      <c r="G147" s="8">
        <f t="shared" si="4"/>
        <v>129675</v>
      </c>
      <c r="H147" s="8" t="str">
        <f t="shared" si="5"/>
        <v>Safe</v>
      </c>
    </row>
    <row r="148" spans="1:8" x14ac:dyDescent="0.25">
      <c r="A148" t="s">
        <v>72</v>
      </c>
      <c r="B148" s="1" t="s">
        <v>122</v>
      </c>
      <c r="C148">
        <v>495</v>
      </c>
      <c r="D148">
        <v>268</v>
      </c>
      <c r="E148">
        <v>475</v>
      </c>
      <c r="F148" s="3">
        <f>VLOOKUP(A:A,Products!A:F,6,FALSE)</f>
        <v>174.29999999999998</v>
      </c>
      <c r="G148" s="8">
        <f t="shared" si="4"/>
        <v>86278.499999999985</v>
      </c>
      <c r="H148" s="8" t="str">
        <f t="shared" si="5"/>
        <v>Safe</v>
      </c>
    </row>
    <row r="149" spans="1:8" x14ac:dyDescent="0.25">
      <c r="A149" t="s">
        <v>27</v>
      </c>
      <c r="B149" s="1" t="s">
        <v>120</v>
      </c>
      <c r="C149">
        <v>497</v>
      </c>
      <c r="D149">
        <v>281</v>
      </c>
      <c r="E149">
        <v>346</v>
      </c>
      <c r="F149" s="3">
        <f>VLOOKUP(A:A,Products!A:F,6,FALSE)</f>
        <v>98</v>
      </c>
      <c r="G149" s="8">
        <f t="shared" si="4"/>
        <v>48706</v>
      </c>
      <c r="H149" s="8" t="str">
        <f t="shared" si="5"/>
        <v>Safe</v>
      </c>
    </row>
    <row r="150" spans="1:8" x14ac:dyDescent="0.25">
      <c r="A150" t="s">
        <v>42</v>
      </c>
      <c r="B150" s="1" t="s">
        <v>118</v>
      </c>
      <c r="C150">
        <v>497</v>
      </c>
      <c r="D150">
        <v>262</v>
      </c>
      <c r="E150">
        <v>253</v>
      </c>
      <c r="F150" s="3">
        <f>VLOOKUP(A:A,Products!A:F,6,FALSE)</f>
        <v>28</v>
      </c>
      <c r="G150" s="8">
        <f t="shared" si="4"/>
        <v>13916</v>
      </c>
      <c r="H150" s="8" t="str">
        <f t="shared" si="5"/>
        <v>Safe</v>
      </c>
    </row>
    <row r="1048576" spans="7:7" x14ac:dyDescent="0.25">
      <c r="G1048576">
        <f>SUM(G1:G1048575)</f>
        <v>6888673.3999999994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E1" workbookViewId="0">
      <selection activeCell="L7" sqref="L7"/>
    </sheetView>
  </sheetViews>
  <sheetFormatPr defaultColWidth="19.28515625" defaultRowHeight="15" x14ac:dyDescent="0.25"/>
  <cols>
    <col min="4" max="4" width="62.42578125" style="8" bestFit="1" customWidth="1"/>
  </cols>
  <sheetData>
    <row r="1" spans="1:12" x14ac:dyDescent="0.25">
      <c r="A1" s="7" t="s">
        <v>141</v>
      </c>
      <c r="B1" s="7" t="s">
        <v>142</v>
      </c>
      <c r="C1" s="7" t="s">
        <v>143</v>
      </c>
      <c r="D1" s="7" t="s">
        <v>1</v>
      </c>
      <c r="E1" s="7" t="s">
        <v>137</v>
      </c>
      <c r="F1" s="7" t="s">
        <v>144</v>
      </c>
      <c r="G1" s="7" t="s">
        <v>145</v>
      </c>
      <c r="H1" s="7" t="s">
        <v>146</v>
      </c>
      <c r="I1" s="7" t="s">
        <v>147</v>
      </c>
      <c r="J1" s="7" t="s">
        <v>148</v>
      </c>
      <c r="K1" s="7" t="s">
        <v>149</v>
      </c>
      <c r="L1" s="7" t="s">
        <v>150</v>
      </c>
    </row>
    <row r="2" spans="1:12" x14ac:dyDescent="0.25">
      <c r="A2" t="s">
        <v>151</v>
      </c>
      <c r="B2" s="1" t="s">
        <v>97</v>
      </c>
      <c r="C2" t="s">
        <v>42</v>
      </c>
      <c r="D2" t="str">
        <f>VLOOKUP(C2,Products!$A:$B,2,FALSE)</f>
        <v>Fresh Glucose Power Biscuits (Value Pack)</v>
      </c>
      <c r="E2" s="1" t="s">
        <v>122</v>
      </c>
      <c r="F2" s="6">
        <v>45818</v>
      </c>
      <c r="G2" s="6">
        <v>45825</v>
      </c>
      <c r="H2" s="6">
        <v>45826</v>
      </c>
      <c r="I2">
        <v>695</v>
      </c>
      <c r="J2">
        <v>6182</v>
      </c>
      <c r="K2">
        <f t="shared" ref="K2:K33" si="0">H2-G2</f>
        <v>1</v>
      </c>
      <c r="L2" t="str">
        <f t="shared" ref="L2:L33" si="1">IF(K2=0,"On Time",IF(K2&lt;=5,"Minor Delay",IF(K2&lt;=10,"Major Delay","Critical Delay")))</f>
        <v>Minor Delay</v>
      </c>
    </row>
    <row r="3" spans="1:12" x14ac:dyDescent="0.25">
      <c r="A3" t="s">
        <v>152</v>
      </c>
      <c r="B3" s="1" t="s">
        <v>109</v>
      </c>
      <c r="C3" t="s">
        <v>86</v>
      </c>
      <c r="D3" t="str">
        <f>VLOOKUP(C3,Products!$A:$B,2,FALSE)</f>
        <v>Purely Detox Matcha Tea Powder</v>
      </c>
      <c r="E3" s="1" t="s">
        <v>122</v>
      </c>
      <c r="F3" s="6">
        <v>45906</v>
      </c>
      <c r="G3" s="6">
        <v>45910</v>
      </c>
      <c r="H3" s="6">
        <v>45923</v>
      </c>
      <c r="I3">
        <v>514</v>
      </c>
      <c r="J3">
        <v>12639</v>
      </c>
      <c r="K3">
        <f t="shared" si="0"/>
        <v>13</v>
      </c>
      <c r="L3" t="str">
        <f t="shared" si="1"/>
        <v>Critical Delay</v>
      </c>
    </row>
    <row r="4" spans="1:12" x14ac:dyDescent="0.25">
      <c r="A4" t="s">
        <v>153</v>
      </c>
      <c r="B4" s="1" t="s">
        <v>97</v>
      </c>
      <c r="C4" t="s">
        <v>45</v>
      </c>
      <c r="D4" t="str">
        <f>VLOOKUP(C4,Products!$A:$B,2,FALSE)</f>
        <v>Fresh Crunchy Choco-Chip Cookies</v>
      </c>
      <c r="E4" s="1" t="s">
        <v>120</v>
      </c>
      <c r="F4" s="6">
        <v>45772</v>
      </c>
      <c r="G4" s="6">
        <v>45775</v>
      </c>
      <c r="H4" s="6">
        <v>45775</v>
      </c>
      <c r="I4">
        <v>530</v>
      </c>
      <c r="J4">
        <v>12755</v>
      </c>
      <c r="K4">
        <f t="shared" si="0"/>
        <v>0</v>
      </c>
      <c r="L4" t="str">
        <f t="shared" si="1"/>
        <v>On Time</v>
      </c>
    </row>
    <row r="5" spans="1:12" x14ac:dyDescent="0.25">
      <c r="A5" t="s">
        <v>154</v>
      </c>
      <c r="B5" s="1" t="s">
        <v>97</v>
      </c>
      <c r="C5" t="s">
        <v>63</v>
      </c>
      <c r="D5" t="str">
        <f>VLOOKUP(C5,Products!$A:$B,2,FALSE)</f>
        <v>Fresh 100% Pure Mixed Fruit Juice</v>
      </c>
      <c r="E5" s="1" t="s">
        <v>118</v>
      </c>
      <c r="F5" s="6">
        <v>45715</v>
      </c>
      <c r="G5" s="6">
        <v>45721</v>
      </c>
      <c r="H5" s="6">
        <v>45721</v>
      </c>
      <c r="I5">
        <v>593</v>
      </c>
      <c r="J5">
        <v>13536</v>
      </c>
      <c r="K5">
        <f t="shared" si="0"/>
        <v>0</v>
      </c>
      <c r="L5" t="str">
        <f t="shared" si="1"/>
        <v>On Time</v>
      </c>
    </row>
    <row r="6" spans="1:12" x14ac:dyDescent="0.25">
      <c r="A6" t="s">
        <v>155</v>
      </c>
      <c r="B6" s="1" t="s">
        <v>109</v>
      </c>
      <c r="C6" t="s">
        <v>86</v>
      </c>
      <c r="D6" t="str">
        <f>VLOOKUP(C6,Products!$A:$B,2,FALSE)</f>
        <v>Purely Detox Matcha Tea Powder</v>
      </c>
      <c r="E6" s="1" t="s">
        <v>120</v>
      </c>
      <c r="F6" s="6">
        <v>45799</v>
      </c>
      <c r="G6" s="6">
        <v>45803</v>
      </c>
      <c r="H6" s="6">
        <v>45812</v>
      </c>
      <c r="I6">
        <v>590</v>
      </c>
      <c r="J6">
        <v>9361</v>
      </c>
      <c r="K6">
        <f t="shared" si="0"/>
        <v>9</v>
      </c>
      <c r="L6" t="str">
        <f t="shared" si="1"/>
        <v>Major Delay</v>
      </c>
    </row>
    <row r="7" spans="1:12" x14ac:dyDescent="0.25">
      <c r="A7" t="s">
        <v>156</v>
      </c>
      <c r="B7" s="1" t="s">
        <v>94</v>
      </c>
      <c r="C7" t="s">
        <v>29</v>
      </c>
      <c r="D7" t="str">
        <f>VLOOKUP(C7,Products!$A:$B,2,FALSE)</f>
        <v>Fresh Lemon Power Detergent Powder (Tough Stain Remover)</v>
      </c>
      <c r="E7" s="1" t="s">
        <v>125</v>
      </c>
      <c r="F7" s="6">
        <v>45978</v>
      </c>
      <c r="G7" s="6">
        <v>45983</v>
      </c>
      <c r="H7" s="6">
        <v>45983</v>
      </c>
      <c r="I7">
        <v>696</v>
      </c>
      <c r="J7">
        <v>13772</v>
      </c>
      <c r="K7">
        <f t="shared" si="0"/>
        <v>0</v>
      </c>
      <c r="L7" t="str">
        <f t="shared" si="1"/>
        <v>On Time</v>
      </c>
    </row>
    <row r="8" spans="1:12" x14ac:dyDescent="0.25">
      <c r="A8" t="s">
        <v>157</v>
      </c>
      <c r="B8" s="1" t="s">
        <v>97</v>
      </c>
      <c r="C8" t="s">
        <v>15</v>
      </c>
      <c r="D8" t="str">
        <f>VLOOKUP(C8,Products!$A:$B,2,FALSE)</f>
        <v>Purely Activated Charcoal Deep Cleanse Men’s Shampoo</v>
      </c>
      <c r="E8" s="1" t="s">
        <v>122</v>
      </c>
      <c r="F8" s="6">
        <v>45787</v>
      </c>
      <c r="G8" s="6">
        <v>45790</v>
      </c>
      <c r="H8" s="6">
        <v>45799</v>
      </c>
      <c r="I8">
        <v>670</v>
      </c>
      <c r="J8">
        <v>14015</v>
      </c>
      <c r="K8">
        <f t="shared" si="0"/>
        <v>9</v>
      </c>
      <c r="L8" t="str">
        <f t="shared" si="1"/>
        <v>Major Delay</v>
      </c>
    </row>
    <row r="9" spans="1:12" x14ac:dyDescent="0.25">
      <c r="A9" t="s">
        <v>158</v>
      </c>
      <c r="B9" s="1" t="s">
        <v>100</v>
      </c>
      <c r="C9" t="s">
        <v>11</v>
      </c>
      <c r="D9" t="str">
        <f>VLOOKUP(C9,Products!$A:$B,2,FALSE)</f>
        <v>Purely Apple Cider Vinegar Hair Therapy Shampoo</v>
      </c>
      <c r="E9" s="1" t="s">
        <v>118</v>
      </c>
      <c r="F9" s="6">
        <v>45773</v>
      </c>
      <c r="G9" s="6">
        <v>45779</v>
      </c>
      <c r="H9" s="6">
        <v>45793</v>
      </c>
      <c r="I9">
        <v>508</v>
      </c>
      <c r="J9">
        <v>12013</v>
      </c>
      <c r="K9">
        <f t="shared" si="0"/>
        <v>14</v>
      </c>
      <c r="L9" t="str">
        <f t="shared" si="1"/>
        <v>Critical Delay</v>
      </c>
    </row>
    <row r="10" spans="1:12" x14ac:dyDescent="0.25">
      <c r="A10" t="s">
        <v>159</v>
      </c>
      <c r="B10" s="1" t="s">
        <v>103</v>
      </c>
      <c r="C10" t="s">
        <v>49</v>
      </c>
      <c r="D10" t="str">
        <f>VLOOKUP(C10,Products!$A:$B,2,FALSE)</f>
        <v>Purely Almond &amp; Chia Seed Millet Oats Biscuits</v>
      </c>
      <c r="E10" s="1" t="s">
        <v>120</v>
      </c>
      <c r="F10" s="6">
        <v>45731</v>
      </c>
      <c r="G10" s="6">
        <v>45737</v>
      </c>
      <c r="H10" s="6">
        <v>45747</v>
      </c>
      <c r="I10">
        <v>618</v>
      </c>
      <c r="J10">
        <v>13717</v>
      </c>
      <c r="K10">
        <f t="shared" si="0"/>
        <v>10</v>
      </c>
      <c r="L10" t="str">
        <f t="shared" si="1"/>
        <v>Major Delay</v>
      </c>
    </row>
    <row r="11" spans="1:12" x14ac:dyDescent="0.25">
      <c r="A11" t="s">
        <v>160</v>
      </c>
      <c r="B11" s="1" t="s">
        <v>106</v>
      </c>
      <c r="C11" t="s">
        <v>13</v>
      </c>
      <c r="D11" t="str">
        <f>VLOOKUP(C11,Products!$A:$B,2,FALSE)</f>
        <v>Purely Argan Oil &amp; Moroccan Clay Repair Shampoo</v>
      </c>
      <c r="E11" s="1" t="s">
        <v>122</v>
      </c>
      <c r="F11" s="6">
        <v>45983</v>
      </c>
      <c r="G11" s="6">
        <v>45989</v>
      </c>
      <c r="H11" s="6">
        <v>45989</v>
      </c>
      <c r="I11">
        <v>689</v>
      </c>
      <c r="J11">
        <v>14453</v>
      </c>
      <c r="K11">
        <f t="shared" si="0"/>
        <v>0</v>
      </c>
      <c r="L11" t="str">
        <f t="shared" si="1"/>
        <v>On Time</v>
      </c>
    </row>
    <row r="12" spans="1:12" x14ac:dyDescent="0.25">
      <c r="A12" t="s">
        <v>161</v>
      </c>
      <c r="B12" s="1" t="s">
        <v>97</v>
      </c>
      <c r="C12" t="s">
        <v>36</v>
      </c>
      <c r="D12" t="str">
        <f>VLOOKUP(C12,Products!$A:$B,2,FALSE)</f>
        <v>Purely Plant-Based Baby Laundry Detergent (Hypoallergenic)</v>
      </c>
      <c r="E12" s="1" t="s">
        <v>118</v>
      </c>
      <c r="F12" s="6">
        <v>45866</v>
      </c>
      <c r="G12" s="6">
        <v>45872</v>
      </c>
      <c r="H12" s="6">
        <v>45884</v>
      </c>
      <c r="I12">
        <v>652</v>
      </c>
      <c r="J12">
        <v>14819</v>
      </c>
      <c r="K12">
        <f t="shared" si="0"/>
        <v>12</v>
      </c>
      <c r="L12" t="str">
        <f t="shared" si="1"/>
        <v>Critical Delay</v>
      </c>
    </row>
    <row r="13" spans="1:12" x14ac:dyDescent="0.25">
      <c r="A13" t="s">
        <v>162</v>
      </c>
      <c r="B13" s="1" t="s">
        <v>106</v>
      </c>
      <c r="C13" t="s">
        <v>9</v>
      </c>
      <c r="D13" t="str">
        <f>VLOOKUP(C13,Products!$A:$B,2,FALSE)</f>
        <v>Fresh 2-in-1 Shampoo + Conditioner for Kids (Mango Flavor)</v>
      </c>
      <c r="E13" s="1" t="s">
        <v>120</v>
      </c>
      <c r="F13" s="6">
        <v>45955</v>
      </c>
      <c r="G13" s="6">
        <v>45959</v>
      </c>
      <c r="H13" s="6">
        <v>45959</v>
      </c>
      <c r="I13">
        <v>570</v>
      </c>
      <c r="J13">
        <v>9429</v>
      </c>
      <c r="K13">
        <f t="shared" si="0"/>
        <v>0</v>
      </c>
      <c r="L13" t="str">
        <f t="shared" si="1"/>
        <v>On Time</v>
      </c>
    </row>
    <row r="14" spans="1:12" x14ac:dyDescent="0.25">
      <c r="A14" t="s">
        <v>163</v>
      </c>
      <c r="B14" s="1" t="s">
        <v>106</v>
      </c>
      <c r="C14" t="s">
        <v>32</v>
      </c>
      <c r="D14" t="str">
        <f>VLOOKUP(C14,Products!$A:$B,2,FALSE)</f>
        <v>Fresh Lavender Fields Liquid Detergent (Front &amp; Top Load)</v>
      </c>
      <c r="E14" s="1" t="s">
        <v>125</v>
      </c>
      <c r="F14" s="6">
        <v>46016</v>
      </c>
      <c r="G14" s="6">
        <v>46023</v>
      </c>
      <c r="H14" s="6">
        <v>46027</v>
      </c>
      <c r="I14">
        <v>584</v>
      </c>
      <c r="J14">
        <v>14489</v>
      </c>
      <c r="K14">
        <f t="shared" si="0"/>
        <v>4</v>
      </c>
      <c r="L14" t="str">
        <f t="shared" si="1"/>
        <v>Minor Delay</v>
      </c>
    </row>
    <row r="15" spans="1:12" x14ac:dyDescent="0.25">
      <c r="A15" t="s">
        <v>164</v>
      </c>
      <c r="B15" s="1" t="s">
        <v>103</v>
      </c>
      <c r="C15" t="s">
        <v>29</v>
      </c>
      <c r="D15" t="str">
        <f>VLOOKUP(C15,Products!$A:$B,2,FALSE)</f>
        <v>Fresh Lemon Power Detergent Powder (Tough Stain Remover)</v>
      </c>
      <c r="E15" s="1" t="s">
        <v>118</v>
      </c>
      <c r="F15" s="6">
        <v>45793</v>
      </c>
      <c r="G15" s="6">
        <v>45798</v>
      </c>
      <c r="H15" s="6">
        <v>45798</v>
      </c>
      <c r="I15">
        <v>680</v>
      </c>
      <c r="J15">
        <v>10901</v>
      </c>
      <c r="K15">
        <f t="shared" si="0"/>
        <v>0</v>
      </c>
      <c r="L15" t="str">
        <f t="shared" si="1"/>
        <v>On Time</v>
      </c>
    </row>
    <row r="16" spans="1:12" x14ac:dyDescent="0.25">
      <c r="A16" t="s">
        <v>165</v>
      </c>
      <c r="B16" s="1" t="s">
        <v>103</v>
      </c>
      <c r="C16" t="s">
        <v>76</v>
      </c>
      <c r="D16" t="str">
        <f>VLOOKUP(C16,Products!$A:$B,2,FALSE)</f>
        <v>Fresh Strong Assam CTC Daily Chai</v>
      </c>
      <c r="E16" s="1" t="s">
        <v>120</v>
      </c>
      <c r="F16" s="6">
        <v>45801</v>
      </c>
      <c r="G16" s="6">
        <v>45808</v>
      </c>
      <c r="H16" s="6">
        <v>45810</v>
      </c>
      <c r="I16">
        <v>614</v>
      </c>
      <c r="J16">
        <v>5946</v>
      </c>
      <c r="K16">
        <f t="shared" si="0"/>
        <v>2</v>
      </c>
      <c r="L16" t="str">
        <f t="shared" si="1"/>
        <v>Minor Delay</v>
      </c>
    </row>
    <row r="17" spans="1:12" x14ac:dyDescent="0.25">
      <c r="A17" t="s">
        <v>166</v>
      </c>
      <c r="B17" s="1" t="s">
        <v>97</v>
      </c>
      <c r="C17" t="s">
        <v>47</v>
      </c>
      <c r="D17" t="str">
        <f>VLOOKUP(C17,Products!$A:$B,2,FALSE)</f>
        <v>Purely 100% Whole Wheat Digestives (Zero Sugar added)</v>
      </c>
      <c r="E17" s="1" t="s">
        <v>118</v>
      </c>
      <c r="F17" s="6">
        <v>45897</v>
      </c>
      <c r="G17" s="6">
        <v>45902</v>
      </c>
      <c r="H17" s="6">
        <v>45907</v>
      </c>
      <c r="I17">
        <v>532</v>
      </c>
      <c r="J17">
        <v>5574</v>
      </c>
      <c r="K17">
        <f t="shared" si="0"/>
        <v>5</v>
      </c>
      <c r="L17" t="str">
        <f t="shared" si="1"/>
        <v>Minor Delay</v>
      </c>
    </row>
    <row r="18" spans="1:12" x14ac:dyDescent="0.25">
      <c r="A18" t="s">
        <v>167</v>
      </c>
      <c r="B18" s="1" t="s">
        <v>97</v>
      </c>
      <c r="C18" t="s">
        <v>15</v>
      </c>
      <c r="D18" t="str">
        <f>VLOOKUP(C18,Products!$A:$B,2,FALSE)</f>
        <v>Purely Activated Charcoal Deep Cleanse Men’s Shampoo</v>
      </c>
      <c r="E18" s="1" t="s">
        <v>120</v>
      </c>
      <c r="F18" s="6">
        <v>45941</v>
      </c>
      <c r="G18" s="6">
        <v>45946</v>
      </c>
      <c r="H18" s="6">
        <v>45955</v>
      </c>
      <c r="I18">
        <v>580</v>
      </c>
      <c r="J18">
        <v>8910</v>
      </c>
      <c r="K18">
        <f t="shared" si="0"/>
        <v>9</v>
      </c>
      <c r="L18" t="str">
        <f t="shared" si="1"/>
        <v>Major Delay</v>
      </c>
    </row>
    <row r="19" spans="1:12" x14ac:dyDescent="0.25">
      <c r="A19" t="s">
        <v>168</v>
      </c>
      <c r="B19" s="1" t="s">
        <v>100</v>
      </c>
      <c r="C19" t="s">
        <v>23</v>
      </c>
      <c r="D19" t="str">
        <f>VLOOKUP(C19,Products!$A:$B,2,FALSE)</f>
        <v>Fresh Rose Petal Cream Bathing Bar</v>
      </c>
      <c r="E19" s="1" t="s">
        <v>118</v>
      </c>
      <c r="F19" s="6">
        <v>45920</v>
      </c>
      <c r="G19" s="6">
        <v>45927</v>
      </c>
      <c r="H19" s="6">
        <v>45927</v>
      </c>
      <c r="I19">
        <v>674</v>
      </c>
      <c r="J19">
        <v>14293</v>
      </c>
      <c r="K19">
        <f t="shared" si="0"/>
        <v>0</v>
      </c>
      <c r="L19" t="str">
        <f t="shared" si="1"/>
        <v>On Time</v>
      </c>
    </row>
    <row r="20" spans="1:12" x14ac:dyDescent="0.25">
      <c r="A20" t="s">
        <v>169</v>
      </c>
      <c r="B20" s="1" t="s">
        <v>100</v>
      </c>
      <c r="C20" t="s">
        <v>25</v>
      </c>
      <c r="D20" t="str">
        <f>VLOOKUP(C20,Products!$A:$B,2,FALSE)</f>
        <v>Purely Handcrafted Oatmeal &amp; Honey Exfoliating Scrub Soap</v>
      </c>
      <c r="E20" s="1" t="s">
        <v>122</v>
      </c>
      <c r="F20" s="6">
        <v>45763</v>
      </c>
      <c r="G20" s="6">
        <v>45766</v>
      </c>
      <c r="H20" s="6">
        <v>45769</v>
      </c>
      <c r="I20">
        <v>691</v>
      </c>
      <c r="J20">
        <v>8338</v>
      </c>
      <c r="K20">
        <f t="shared" si="0"/>
        <v>3</v>
      </c>
      <c r="L20" t="str">
        <f t="shared" si="1"/>
        <v>Minor Delay</v>
      </c>
    </row>
    <row r="21" spans="1:12" x14ac:dyDescent="0.25">
      <c r="A21" t="s">
        <v>170</v>
      </c>
      <c r="B21" s="1" t="s">
        <v>100</v>
      </c>
      <c r="C21" t="s">
        <v>68</v>
      </c>
      <c r="D21" t="str">
        <f>VLOOKUP(C21,Products!$A:$B,2,FALSE)</f>
        <v>Fresh Zesty Orange Juice with Juicy Pulp</v>
      </c>
      <c r="E21" s="1" t="s">
        <v>120</v>
      </c>
      <c r="F21" s="6">
        <v>45665</v>
      </c>
      <c r="G21" s="6">
        <v>45671</v>
      </c>
      <c r="H21" s="6">
        <v>45680</v>
      </c>
      <c r="I21">
        <v>532</v>
      </c>
      <c r="J21">
        <v>11494</v>
      </c>
      <c r="K21">
        <f t="shared" si="0"/>
        <v>9</v>
      </c>
      <c r="L21" t="str">
        <f t="shared" si="1"/>
        <v>Major Delay</v>
      </c>
    </row>
    <row r="22" spans="1:12" x14ac:dyDescent="0.25">
      <c r="A22" t="s">
        <v>171</v>
      </c>
      <c r="B22" s="1" t="s">
        <v>109</v>
      </c>
      <c r="C22" t="s">
        <v>82</v>
      </c>
      <c r="D22" t="str">
        <f>VLOOKUP(C22,Products!$A:$B,2,FALSE)</f>
        <v>Purely Organic Himalayan Green Tea (Whole Leaf)</v>
      </c>
      <c r="E22" s="1" t="s">
        <v>125</v>
      </c>
      <c r="F22" s="6">
        <v>45775</v>
      </c>
      <c r="G22" s="6">
        <v>45778</v>
      </c>
      <c r="H22" s="6">
        <v>45787</v>
      </c>
      <c r="I22">
        <v>595</v>
      </c>
      <c r="J22">
        <v>9327</v>
      </c>
      <c r="K22">
        <f t="shared" si="0"/>
        <v>9</v>
      </c>
      <c r="L22" t="str">
        <f t="shared" si="1"/>
        <v>Major Delay</v>
      </c>
    </row>
    <row r="23" spans="1:12" x14ac:dyDescent="0.25">
      <c r="A23" t="s">
        <v>172</v>
      </c>
      <c r="B23" s="1" t="s">
        <v>100</v>
      </c>
      <c r="C23" t="s">
        <v>53</v>
      </c>
      <c r="D23" t="str">
        <f>VLOOKUP(C23,Products!$A:$B,2,FALSE)</f>
        <v>Fresh Classic Salted Potato Chips (Party Pack)</v>
      </c>
      <c r="E23" s="1" t="s">
        <v>122</v>
      </c>
      <c r="F23" s="6">
        <v>46003</v>
      </c>
      <c r="G23" s="6">
        <v>46009</v>
      </c>
      <c r="H23" s="6">
        <v>46009</v>
      </c>
      <c r="I23">
        <v>544</v>
      </c>
      <c r="J23">
        <v>14913</v>
      </c>
      <c r="K23">
        <f t="shared" si="0"/>
        <v>0</v>
      </c>
      <c r="L23" t="str">
        <f t="shared" si="1"/>
        <v>On Time</v>
      </c>
    </row>
    <row r="24" spans="1:12" x14ac:dyDescent="0.25">
      <c r="A24" t="s">
        <v>173</v>
      </c>
      <c r="B24" s="1" t="s">
        <v>100</v>
      </c>
      <c r="C24" t="s">
        <v>55</v>
      </c>
      <c r="D24" t="str">
        <f>VLOOKUP(C24,Products!$A:$B,2,FALSE)</f>
        <v>Fresh Tangy Tomato Masala Potato Chips</v>
      </c>
      <c r="E24" s="1" t="s">
        <v>118</v>
      </c>
      <c r="F24" s="6">
        <v>45660</v>
      </c>
      <c r="G24" s="6">
        <v>45666</v>
      </c>
      <c r="H24" s="6">
        <v>45679</v>
      </c>
      <c r="I24">
        <v>556</v>
      </c>
      <c r="J24">
        <v>7811</v>
      </c>
      <c r="K24">
        <f t="shared" si="0"/>
        <v>13</v>
      </c>
      <c r="L24" t="str">
        <f t="shared" si="1"/>
        <v>Critical Delay</v>
      </c>
    </row>
    <row r="25" spans="1:12" x14ac:dyDescent="0.25">
      <c r="A25" t="s">
        <v>174</v>
      </c>
      <c r="B25" s="1" t="s">
        <v>100</v>
      </c>
      <c r="C25" t="s">
        <v>9</v>
      </c>
      <c r="D25" t="str">
        <f>VLOOKUP(C25,Products!$A:$B,2,FALSE)</f>
        <v>Fresh 2-in-1 Shampoo + Conditioner for Kids (Mango Flavor)</v>
      </c>
      <c r="E25" s="1" t="s">
        <v>125</v>
      </c>
      <c r="F25" s="6">
        <v>45820</v>
      </c>
      <c r="G25" s="6">
        <v>45827</v>
      </c>
      <c r="H25" s="6">
        <v>45827</v>
      </c>
      <c r="I25">
        <v>601</v>
      </c>
      <c r="J25">
        <v>12429</v>
      </c>
      <c r="K25">
        <f t="shared" si="0"/>
        <v>0</v>
      </c>
      <c r="L25" t="str">
        <f t="shared" si="1"/>
        <v>On Time</v>
      </c>
    </row>
    <row r="26" spans="1:12" x14ac:dyDescent="0.25">
      <c r="A26" t="s">
        <v>175</v>
      </c>
      <c r="B26" s="1" t="s">
        <v>100</v>
      </c>
      <c r="C26" t="s">
        <v>72</v>
      </c>
      <c r="D26" t="str">
        <f>VLOOKUP(C26,Products!$A:$B,2,FALSE)</f>
        <v>Purely Cold-Pressed Green Juice (Spinach, Cucumber, Green Apple)</v>
      </c>
      <c r="E26" s="1" t="s">
        <v>125</v>
      </c>
      <c r="F26" s="6">
        <v>45994</v>
      </c>
      <c r="G26" s="6">
        <v>45998</v>
      </c>
      <c r="H26" s="6">
        <v>45998</v>
      </c>
      <c r="I26">
        <v>584</v>
      </c>
      <c r="J26">
        <v>9901</v>
      </c>
      <c r="K26">
        <f t="shared" si="0"/>
        <v>0</v>
      </c>
      <c r="L26" t="str">
        <f t="shared" si="1"/>
        <v>On Time</v>
      </c>
    </row>
    <row r="27" spans="1:12" x14ac:dyDescent="0.25">
      <c r="A27" t="s">
        <v>176</v>
      </c>
      <c r="B27" s="1" t="s">
        <v>112</v>
      </c>
      <c r="C27" t="s">
        <v>80</v>
      </c>
      <c r="D27" t="str">
        <f>VLOOKUP(C27,Products!$A:$B,2,FALSE)</f>
        <v>Fresh Refreshing Lemon Ice Tea Mix</v>
      </c>
      <c r="E27" s="1" t="s">
        <v>118</v>
      </c>
      <c r="F27" s="6">
        <v>45670</v>
      </c>
      <c r="G27" s="6">
        <v>45674</v>
      </c>
      <c r="H27" s="6">
        <v>45674</v>
      </c>
      <c r="I27">
        <v>511</v>
      </c>
      <c r="J27">
        <v>10892</v>
      </c>
      <c r="K27">
        <f t="shared" si="0"/>
        <v>0</v>
      </c>
      <c r="L27" t="str">
        <f t="shared" si="1"/>
        <v>On Time</v>
      </c>
    </row>
    <row r="28" spans="1:12" x14ac:dyDescent="0.25">
      <c r="A28" t="s">
        <v>177</v>
      </c>
      <c r="B28" s="1" t="s">
        <v>109</v>
      </c>
      <c r="C28" t="s">
        <v>84</v>
      </c>
      <c r="D28" t="str">
        <f>VLOOKUP(C28,Products!$A:$B,2,FALSE)</f>
        <v>Purely Soothing Chamomile &amp; Lavender Herbal Tea Infusion</v>
      </c>
      <c r="E28" s="1" t="s">
        <v>120</v>
      </c>
      <c r="F28" s="6">
        <v>45859</v>
      </c>
      <c r="G28" s="6">
        <v>45864</v>
      </c>
      <c r="H28" s="6">
        <v>45877</v>
      </c>
      <c r="I28">
        <v>505</v>
      </c>
      <c r="J28">
        <v>7084</v>
      </c>
      <c r="K28">
        <f t="shared" si="0"/>
        <v>13</v>
      </c>
      <c r="L28" t="str">
        <f t="shared" si="1"/>
        <v>Critical Delay</v>
      </c>
    </row>
    <row r="29" spans="1:12" x14ac:dyDescent="0.25">
      <c r="A29" t="s">
        <v>178</v>
      </c>
      <c r="B29" s="1" t="s">
        <v>100</v>
      </c>
      <c r="C29" t="s">
        <v>13</v>
      </c>
      <c r="D29" t="str">
        <f>VLOOKUP(C29,Products!$A:$B,2,FALSE)</f>
        <v>Purely Argan Oil &amp; Moroccan Clay Repair Shampoo</v>
      </c>
      <c r="E29" s="1" t="s">
        <v>125</v>
      </c>
      <c r="F29" s="6">
        <v>45709</v>
      </c>
      <c r="G29" s="6">
        <v>45715</v>
      </c>
      <c r="H29" s="6">
        <v>45720</v>
      </c>
      <c r="I29">
        <v>626</v>
      </c>
      <c r="J29">
        <v>7829</v>
      </c>
      <c r="K29">
        <f t="shared" si="0"/>
        <v>5</v>
      </c>
      <c r="L29" t="str">
        <f t="shared" si="1"/>
        <v>Minor Delay</v>
      </c>
    </row>
    <row r="30" spans="1:12" x14ac:dyDescent="0.25">
      <c r="A30" t="s">
        <v>179</v>
      </c>
      <c r="B30" s="1" t="s">
        <v>100</v>
      </c>
      <c r="C30" t="s">
        <v>59</v>
      </c>
      <c r="D30" t="str">
        <f>VLOOKUP(C30,Products!$A:$B,2,FALSE)</f>
        <v>Purely Vacuum-Fried Sweet Potato Chips</v>
      </c>
      <c r="E30" s="1" t="s">
        <v>120</v>
      </c>
      <c r="F30" s="6">
        <v>45740</v>
      </c>
      <c r="G30" s="6">
        <v>45747</v>
      </c>
      <c r="H30" s="6">
        <v>45747</v>
      </c>
      <c r="I30">
        <v>537</v>
      </c>
      <c r="J30">
        <v>9235</v>
      </c>
      <c r="K30">
        <f t="shared" si="0"/>
        <v>0</v>
      </c>
      <c r="L30" t="str">
        <f t="shared" si="1"/>
        <v>On Time</v>
      </c>
    </row>
    <row r="31" spans="1:12" x14ac:dyDescent="0.25">
      <c r="A31" t="s">
        <v>180</v>
      </c>
      <c r="B31" s="1" t="s">
        <v>103</v>
      </c>
      <c r="C31" t="s">
        <v>38</v>
      </c>
      <c r="D31" t="str">
        <f>VLOOKUP(C31,Products!$A:$B,2,FALSE)</f>
        <v>Purely Eucalyptus Eco-Friendly Detergent Sheets</v>
      </c>
      <c r="E31" s="1" t="s">
        <v>122</v>
      </c>
      <c r="F31" s="6">
        <v>45981</v>
      </c>
      <c r="G31" s="6">
        <v>45988</v>
      </c>
      <c r="H31" s="6">
        <v>45988</v>
      </c>
      <c r="I31">
        <v>681</v>
      </c>
      <c r="J31">
        <v>7627</v>
      </c>
      <c r="K31">
        <f t="shared" si="0"/>
        <v>0</v>
      </c>
      <c r="L31" t="str">
        <f t="shared" si="1"/>
        <v>On Time</v>
      </c>
    </row>
    <row r="32" spans="1:12" x14ac:dyDescent="0.25">
      <c r="A32" t="s">
        <v>181</v>
      </c>
      <c r="B32" s="1" t="s">
        <v>100</v>
      </c>
      <c r="C32" t="s">
        <v>32</v>
      </c>
      <c r="D32" t="str">
        <f>VLOOKUP(C32,Products!$A:$B,2,FALSE)</f>
        <v>Fresh Lavender Fields Liquid Detergent (Front &amp; Top Load)</v>
      </c>
      <c r="E32" s="1" t="s">
        <v>120</v>
      </c>
      <c r="F32" s="6">
        <v>45726</v>
      </c>
      <c r="G32" s="6">
        <v>45729</v>
      </c>
      <c r="H32" s="6">
        <v>45731</v>
      </c>
      <c r="I32">
        <v>661</v>
      </c>
      <c r="J32">
        <v>5763</v>
      </c>
      <c r="K32">
        <f t="shared" si="0"/>
        <v>2</v>
      </c>
      <c r="L32" t="str">
        <f t="shared" si="1"/>
        <v>Minor Delay</v>
      </c>
    </row>
    <row r="33" spans="1:12" x14ac:dyDescent="0.25">
      <c r="A33" t="s">
        <v>182</v>
      </c>
      <c r="B33" s="1" t="s">
        <v>100</v>
      </c>
      <c r="C33" t="s">
        <v>47</v>
      </c>
      <c r="D33" t="str">
        <f>VLOOKUP(C33,Products!$A:$B,2,FALSE)</f>
        <v>Purely 100% Whole Wheat Digestives (Zero Sugar added)</v>
      </c>
      <c r="E33" s="1" t="s">
        <v>120</v>
      </c>
      <c r="F33" s="6">
        <v>45751</v>
      </c>
      <c r="G33" s="6">
        <v>45755</v>
      </c>
      <c r="H33" s="6">
        <v>45759</v>
      </c>
      <c r="I33">
        <v>625</v>
      </c>
      <c r="J33">
        <v>7398</v>
      </c>
      <c r="K33">
        <f t="shared" si="0"/>
        <v>4</v>
      </c>
      <c r="L33" t="str">
        <f t="shared" si="1"/>
        <v>Minor Delay</v>
      </c>
    </row>
    <row r="34" spans="1:12" x14ac:dyDescent="0.25">
      <c r="A34" t="s">
        <v>183</v>
      </c>
      <c r="B34" s="1" t="s">
        <v>100</v>
      </c>
      <c r="C34" t="s">
        <v>11</v>
      </c>
      <c r="D34" t="str">
        <f>VLOOKUP(C34,Products!$A:$B,2,FALSE)</f>
        <v>Purely Apple Cider Vinegar Hair Therapy Shampoo</v>
      </c>
      <c r="E34" s="1" t="s">
        <v>120</v>
      </c>
      <c r="F34" s="6">
        <v>45885</v>
      </c>
      <c r="G34" s="6">
        <v>45891</v>
      </c>
      <c r="H34" s="6">
        <v>45891</v>
      </c>
      <c r="I34">
        <v>690</v>
      </c>
      <c r="J34">
        <v>11023</v>
      </c>
      <c r="K34">
        <f t="shared" ref="K34:K65" si="2">H34-G34</f>
        <v>0</v>
      </c>
      <c r="L34" t="str">
        <f t="shared" ref="L34:L65" si="3">IF(K34=0,"On Time",IF(K34&lt;=5,"Minor Delay",IF(K34&lt;=10,"Major Delay","Critical Delay")))</f>
        <v>On Time</v>
      </c>
    </row>
    <row r="35" spans="1:12" x14ac:dyDescent="0.25">
      <c r="A35" t="s">
        <v>184</v>
      </c>
      <c r="B35" s="1" t="s">
        <v>103</v>
      </c>
      <c r="C35" t="s">
        <v>36</v>
      </c>
      <c r="D35" t="str">
        <f>VLOOKUP(C35,Products!$A:$B,2,FALSE)</f>
        <v>Purely Plant-Based Baby Laundry Detergent (Hypoallergenic)</v>
      </c>
      <c r="E35" s="1" t="s">
        <v>120</v>
      </c>
      <c r="F35" s="6">
        <v>45705</v>
      </c>
      <c r="G35" s="6">
        <v>45709</v>
      </c>
      <c r="H35" s="6">
        <v>45709</v>
      </c>
      <c r="I35">
        <v>623</v>
      </c>
      <c r="J35">
        <v>6785</v>
      </c>
      <c r="K35">
        <f t="shared" si="2"/>
        <v>0</v>
      </c>
      <c r="L35" t="str">
        <f t="shared" si="3"/>
        <v>On Time</v>
      </c>
    </row>
    <row r="36" spans="1:12" x14ac:dyDescent="0.25">
      <c r="A36" t="s">
        <v>185</v>
      </c>
      <c r="B36" s="1" t="s">
        <v>106</v>
      </c>
      <c r="C36" t="s">
        <v>55</v>
      </c>
      <c r="D36" t="str">
        <f>VLOOKUP(C36,Products!$A:$B,2,FALSE)</f>
        <v>Fresh Tangy Tomato Masala Potato Chips</v>
      </c>
      <c r="E36" s="1" t="s">
        <v>122</v>
      </c>
      <c r="F36" s="6">
        <v>45712</v>
      </c>
      <c r="G36" s="6">
        <v>45719</v>
      </c>
      <c r="H36" s="6">
        <v>45721</v>
      </c>
      <c r="I36">
        <v>661</v>
      </c>
      <c r="J36">
        <v>7161</v>
      </c>
      <c r="K36">
        <f t="shared" si="2"/>
        <v>2</v>
      </c>
      <c r="L36" t="str">
        <f t="shared" si="3"/>
        <v>Minor Delay</v>
      </c>
    </row>
    <row r="37" spans="1:12" x14ac:dyDescent="0.25">
      <c r="A37" t="s">
        <v>186</v>
      </c>
      <c r="B37" s="1" t="s">
        <v>106</v>
      </c>
      <c r="C37" t="s">
        <v>32</v>
      </c>
      <c r="D37" t="str">
        <f>VLOOKUP(C37,Products!$A:$B,2,FALSE)</f>
        <v>Fresh Lavender Fields Liquid Detergent (Front &amp; Top Load)</v>
      </c>
      <c r="E37" s="1" t="s">
        <v>122</v>
      </c>
      <c r="F37" s="6">
        <v>45896</v>
      </c>
      <c r="G37" s="6">
        <v>45900</v>
      </c>
      <c r="H37" s="6">
        <v>45900</v>
      </c>
      <c r="I37">
        <v>608</v>
      </c>
      <c r="J37">
        <v>14346</v>
      </c>
      <c r="K37">
        <f t="shared" si="2"/>
        <v>0</v>
      </c>
      <c r="L37" t="str">
        <f t="shared" si="3"/>
        <v>On Time</v>
      </c>
    </row>
    <row r="38" spans="1:12" x14ac:dyDescent="0.25">
      <c r="A38" t="s">
        <v>187</v>
      </c>
      <c r="B38" s="1" t="s">
        <v>103</v>
      </c>
      <c r="C38" t="s">
        <v>57</v>
      </c>
      <c r="D38" t="str">
        <f>VLOOKUP(C38,Products!$A:$B,2,FALSE)</f>
        <v>Fresh Crunchy Peri-Peri Corn Puffs</v>
      </c>
      <c r="E38" s="1" t="s">
        <v>118</v>
      </c>
      <c r="F38" s="6">
        <v>45942</v>
      </c>
      <c r="G38" s="6">
        <v>45948</v>
      </c>
      <c r="H38" s="6">
        <v>45948</v>
      </c>
      <c r="I38">
        <v>602</v>
      </c>
      <c r="J38">
        <v>9046</v>
      </c>
      <c r="K38">
        <f t="shared" si="2"/>
        <v>0</v>
      </c>
      <c r="L38" t="str">
        <f t="shared" si="3"/>
        <v>On Time</v>
      </c>
    </row>
    <row r="39" spans="1:12" x14ac:dyDescent="0.25">
      <c r="A39" t="s">
        <v>188</v>
      </c>
      <c r="B39" s="1" t="s">
        <v>109</v>
      </c>
      <c r="C39" t="s">
        <v>82</v>
      </c>
      <c r="D39" t="str">
        <f>VLOOKUP(C39,Products!$A:$B,2,FALSE)</f>
        <v>Purely Organic Himalayan Green Tea (Whole Leaf)</v>
      </c>
      <c r="E39" s="1" t="s">
        <v>118</v>
      </c>
      <c r="F39" s="6">
        <v>46018</v>
      </c>
      <c r="G39" s="6">
        <v>46025</v>
      </c>
      <c r="H39" s="6">
        <v>46025</v>
      </c>
      <c r="I39">
        <v>567</v>
      </c>
      <c r="J39">
        <v>12580</v>
      </c>
      <c r="K39">
        <f t="shared" si="2"/>
        <v>0</v>
      </c>
      <c r="L39" t="str">
        <f t="shared" si="3"/>
        <v>On Time</v>
      </c>
    </row>
    <row r="40" spans="1:12" x14ac:dyDescent="0.25">
      <c r="A40" t="s">
        <v>189</v>
      </c>
      <c r="B40" s="1" t="s">
        <v>103</v>
      </c>
      <c r="C40" t="s">
        <v>70</v>
      </c>
      <c r="D40" t="str">
        <f>VLOOKUP(C40,Products!$A:$B,2,FALSE)</f>
        <v>Fresh Guava Chilli Tangy Nectar</v>
      </c>
      <c r="E40" s="1" t="s">
        <v>118</v>
      </c>
      <c r="F40" s="6">
        <v>45880</v>
      </c>
      <c r="G40" s="6">
        <v>45886</v>
      </c>
      <c r="H40" s="6">
        <v>45896</v>
      </c>
      <c r="I40">
        <v>643</v>
      </c>
      <c r="J40">
        <v>7896</v>
      </c>
      <c r="K40">
        <f t="shared" si="2"/>
        <v>10</v>
      </c>
      <c r="L40" t="str">
        <f t="shared" si="3"/>
        <v>Major Delay</v>
      </c>
    </row>
    <row r="41" spans="1:12" x14ac:dyDescent="0.25">
      <c r="A41" t="s">
        <v>190</v>
      </c>
      <c r="B41" s="1" t="s">
        <v>103</v>
      </c>
      <c r="C41" t="s">
        <v>72</v>
      </c>
      <c r="D41" t="str">
        <f>VLOOKUP(C41,Products!$A:$B,2,FALSE)</f>
        <v>Purely Cold-Pressed Green Juice (Spinach, Cucumber, Green Apple)</v>
      </c>
      <c r="E41" s="1" t="s">
        <v>120</v>
      </c>
      <c r="F41" s="6">
        <v>46009</v>
      </c>
      <c r="G41" s="6">
        <v>46015</v>
      </c>
      <c r="H41" s="6">
        <v>46015</v>
      </c>
      <c r="I41">
        <v>635</v>
      </c>
      <c r="J41">
        <v>10929</v>
      </c>
      <c r="K41">
        <f t="shared" si="2"/>
        <v>0</v>
      </c>
      <c r="L41" t="str">
        <f t="shared" si="3"/>
        <v>On Time</v>
      </c>
    </row>
    <row r="42" spans="1:12" x14ac:dyDescent="0.25">
      <c r="A42" t="s">
        <v>191</v>
      </c>
      <c r="B42" s="1" t="s">
        <v>106</v>
      </c>
      <c r="C42" t="s">
        <v>51</v>
      </c>
      <c r="D42" t="str">
        <f>VLOOKUP(C42,Products!$A:$B,2,FALSE)</f>
        <v>Purely Keto-Friendly Coconut Flour Cookies</v>
      </c>
      <c r="E42" s="1" t="s">
        <v>122</v>
      </c>
      <c r="F42" s="6">
        <v>45862</v>
      </c>
      <c r="G42" s="6">
        <v>45867</v>
      </c>
      <c r="H42" s="6">
        <v>45875</v>
      </c>
      <c r="I42">
        <v>575</v>
      </c>
      <c r="J42">
        <v>6160</v>
      </c>
      <c r="K42">
        <f t="shared" si="2"/>
        <v>8</v>
      </c>
      <c r="L42" t="str">
        <f t="shared" si="3"/>
        <v>Major Delay</v>
      </c>
    </row>
    <row r="43" spans="1:12" x14ac:dyDescent="0.25">
      <c r="A43" t="s">
        <v>192</v>
      </c>
      <c r="B43" s="1" t="s">
        <v>103</v>
      </c>
      <c r="C43" t="s">
        <v>21</v>
      </c>
      <c r="D43" t="str">
        <f>VLOOKUP(C43,Products!$A:$B,2,FALSE)</f>
        <v>Fresh Refreshing Lemon &amp; Neem Germ Protection Soap</v>
      </c>
      <c r="E43" s="1" t="s">
        <v>125</v>
      </c>
      <c r="F43" s="6">
        <v>45882</v>
      </c>
      <c r="G43" s="6">
        <v>45886</v>
      </c>
      <c r="H43" s="6">
        <v>45886</v>
      </c>
      <c r="I43">
        <v>653</v>
      </c>
      <c r="J43">
        <v>6125</v>
      </c>
      <c r="K43">
        <f t="shared" si="2"/>
        <v>0</v>
      </c>
      <c r="L43" t="str">
        <f t="shared" si="3"/>
        <v>On Time</v>
      </c>
    </row>
    <row r="44" spans="1:12" x14ac:dyDescent="0.25">
      <c r="A44" t="s">
        <v>193</v>
      </c>
      <c r="B44" s="1" t="s">
        <v>106</v>
      </c>
      <c r="C44" t="s">
        <v>7</v>
      </c>
      <c r="D44" t="str">
        <f>VLOOKUP(C44,Products!$A:$B,2,FALSE)</f>
        <v>Fresh Smooth &amp; Shiny Daily Silky Shampoo</v>
      </c>
      <c r="E44" s="1" t="s">
        <v>118</v>
      </c>
      <c r="F44" s="6">
        <v>45955</v>
      </c>
      <c r="G44" s="6">
        <v>45960</v>
      </c>
      <c r="H44" s="6">
        <v>45961</v>
      </c>
      <c r="I44">
        <v>608</v>
      </c>
      <c r="J44">
        <v>14463</v>
      </c>
      <c r="K44">
        <f t="shared" si="2"/>
        <v>1</v>
      </c>
      <c r="L44" t="str">
        <f t="shared" si="3"/>
        <v>Minor Delay</v>
      </c>
    </row>
    <row r="45" spans="1:12" x14ac:dyDescent="0.25">
      <c r="A45" t="s">
        <v>194</v>
      </c>
      <c r="B45" s="1" t="s">
        <v>103</v>
      </c>
      <c r="C45" t="s">
        <v>70</v>
      </c>
      <c r="D45" t="str">
        <f>VLOOKUP(C45,Products!$A:$B,2,FALSE)</f>
        <v>Fresh Guava Chilli Tangy Nectar</v>
      </c>
      <c r="E45" s="1" t="s">
        <v>122</v>
      </c>
      <c r="F45" s="6">
        <v>45823</v>
      </c>
      <c r="G45" s="6">
        <v>45829</v>
      </c>
      <c r="H45" s="6">
        <v>45831</v>
      </c>
      <c r="I45">
        <v>595</v>
      </c>
      <c r="J45">
        <v>11003</v>
      </c>
      <c r="K45">
        <f t="shared" si="2"/>
        <v>2</v>
      </c>
      <c r="L45" t="str">
        <f t="shared" si="3"/>
        <v>Minor Delay</v>
      </c>
    </row>
    <row r="46" spans="1:12" x14ac:dyDescent="0.25">
      <c r="A46" t="s">
        <v>195</v>
      </c>
      <c r="B46" s="1" t="s">
        <v>103</v>
      </c>
      <c r="C46" t="s">
        <v>7</v>
      </c>
      <c r="D46" t="str">
        <f>VLOOKUP(C46,Products!$A:$B,2,FALSE)</f>
        <v>Fresh Smooth &amp; Shiny Daily Silky Shampoo</v>
      </c>
      <c r="E46" s="1" t="s">
        <v>122</v>
      </c>
      <c r="F46" s="6">
        <v>45999</v>
      </c>
      <c r="G46" s="6">
        <v>46005</v>
      </c>
      <c r="H46" s="6">
        <v>46014</v>
      </c>
      <c r="I46">
        <v>630</v>
      </c>
      <c r="J46">
        <v>11964</v>
      </c>
      <c r="K46">
        <f t="shared" si="2"/>
        <v>9</v>
      </c>
      <c r="L46" t="str">
        <f t="shared" si="3"/>
        <v>Major Delay</v>
      </c>
    </row>
    <row r="47" spans="1:12" x14ac:dyDescent="0.25">
      <c r="A47" t="s">
        <v>196</v>
      </c>
      <c r="B47" s="1" t="s">
        <v>94</v>
      </c>
      <c r="C47" t="s">
        <v>17</v>
      </c>
      <c r="D47" t="str">
        <f>VLOOKUP(C47,Products!$A:$B,2,FALSE)</f>
        <v>Purely Fragrance-Free Ultra-Mild Sensitive Scalp Shampoo</v>
      </c>
      <c r="E47" s="1" t="s">
        <v>122</v>
      </c>
      <c r="F47" s="6">
        <v>45862</v>
      </c>
      <c r="G47" s="6">
        <v>45866</v>
      </c>
      <c r="H47" s="6">
        <v>45867</v>
      </c>
      <c r="I47">
        <v>661</v>
      </c>
      <c r="J47">
        <v>6836</v>
      </c>
      <c r="K47">
        <f t="shared" si="2"/>
        <v>1</v>
      </c>
      <c r="L47" t="str">
        <f t="shared" si="3"/>
        <v>Minor Delay</v>
      </c>
    </row>
    <row r="48" spans="1:12" x14ac:dyDescent="0.25">
      <c r="A48" t="s">
        <v>197</v>
      </c>
      <c r="B48" s="1" t="s">
        <v>94</v>
      </c>
      <c r="C48" t="s">
        <v>61</v>
      </c>
      <c r="D48" t="str">
        <f>VLOOKUP(C48,Products!$A:$B,2,FALSE)</f>
        <v>Purely Baked Quinoa Puffs (Sour Cream &amp; Onion)</v>
      </c>
      <c r="E48" s="1" t="s">
        <v>120</v>
      </c>
      <c r="F48" s="6">
        <v>45971</v>
      </c>
      <c r="G48" s="6">
        <v>45976</v>
      </c>
      <c r="H48" s="6">
        <v>45980</v>
      </c>
      <c r="I48">
        <v>529</v>
      </c>
      <c r="J48">
        <v>6257</v>
      </c>
      <c r="K48">
        <f t="shared" si="2"/>
        <v>4</v>
      </c>
      <c r="L48" t="str">
        <f t="shared" si="3"/>
        <v>Minor Delay</v>
      </c>
    </row>
    <row r="49" spans="1:12" x14ac:dyDescent="0.25">
      <c r="A49" t="s">
        <v>198</v>
      </c>
      <c r="B49" s="1" t="s">
        <v>94</v>
      </c>
      <c r="C49" t="s">
        <v>49</v>
      </c>
      <c r="D49" t="str">
        <f>VLOOKUP(C49,Products!$A:$B,2,FALSE)</f>
        <v>Purely Almond &amp; Chia Seed Millet Oats Biscuits</v>
      </c>
      <c r="E49" s="1" t="s">
        <v>125</v>
      </c>
      <c r="F49" s="6">
        <v>45700</v>
      </c>
      <c r="G49" s="6">
        <v>45706</v>
      </c>
      <c r="H49" s="6">
        <v>45719</v>
      </c>
      <c r="I49">
        <v>582</v>
      </c>
      <c r="J49">
        <v>13239</v>
      </c>
      <c r="K49">
        <f t="shared" si="2"/>
        <v>13</v>
      </c>
      <c r="L49" t="str">
        <f t="shared" si="3"/>
        <v>Critical Delay</v>
      </c>
    </row>
    <row r="50" spans="1:12" x14ac:dyDescent="0.25">
      <c r="A50" t="s">
        <v>199</v>
      </c>
      <c r="B50" s="1" t="s">
        <v>94</v>
      </c>
      <c r="C50" t="s">
        <v>40</v>
      </c>
      <c r="D50" t="str">
        <f>VLOOKUP(C50,Products!$A:$B,2,FALSE)</f>
        <v>Purely Bio-Enzyme Liquid Detergent for Delicate Fabrics (Silk/Wool)</v>
      </c>
      <c r="E50" s="1" t="s">
        <v>125</v>
      </c>
      <c r="F50" s="6">
        <v>45728</v>
      </c>
      <c r="G50" s="6">
        <v>45731</v>
      </c>
      <c r="H50" s="6">
        <v>45731</v>
      </c>
      <c r="I50">
        <v>523</v>
      </c>
      <c r="J50">
        <v>11907</v>
      </c>
      <c r="K50">
        <f t="shared" si="2"/>
        <v>0</v>
      </c>
      <c r="L50" t="str">
        <f t="shared" si="3"/>
        <v>On Time</v>
      </c>
    </row>
    <row r="51" spans="1:12" x14ac:dyDescent="0.25">
      <c r="A51" t="s">
        <v>200</v>
      </c>
      <c r="B51" s="1" t="s">
        <v>100</v>
      </c>
      <c r="C51" t="s">
        <v>47</v>
      </c>
      <c r="D51" t="str">
        <f>VLOOKUP(C51,Products!$A:$B,2,FALSE)</f>
        <v>Purely 100% Whole Wheat Digestives (Zero Sugar added)</v>
      </c>
      <c r="E51" s="1" t="s">
        <v>122</v>
      </c>
      <c r="F51" s="6">
        <v>45679</v>
      </c>
      <c r="G51" s="6">
        <v>45682</v>
      </c>
      <c r="H51" s="6">
        <v>45682</v>
      </c>
      <c r="I51">
        <v>659</v>
      </c>
      <c r="J51">
        <v>12091</v>
      </c>
      <c r="K51">
        <f t="shared" si="2"/>
        <v>0</v>
      </c>
      <c r="L51" t="str">
        <f t="shared" si="3"/>
        <v>On Time</v>
      </c>
    </row>
    <row r="52" spans="1:12" x14ac:dyDescent="0.25">
      <c r="A52" t="s">
        <v>201</v>
      </c>
      <c r="B52" s="1" t="s">
        <v>103</v>
      </c>
      <c r="C52" t="s">
        <v>19</v>
      </c>
      <c r="D52" t="str">
        <f>VLOOKUP(C52,Products!$A:$B,2,FALSE)</f>
        <v>Fresh Vitamin E &amp; Aloe Vera Moisturizing Bar</v>
      </c>
      <c r="E52" s="1" t="s">
        <v>120</v>
      </c>
      <c r="F52" s="6">
        <v>45855</v>
      </c>
      <c r="G52" s="6">
        <v>45862</v>
      </c>
      <c r="H52" s="6">
        <v>45874</v>
      </c>
      <c r="I52">
        <v>673</v>
      </c>
      <c r="J52">
        <v>7902</v>
      </c>
      <c r="K52">
        <f t="shared" si="2"/>
        <v>12</v>
      </c>
      <c r="L52" t="str">
        <f t="shared" si="3"/>
        <v>Critical Delay</v>
      </c>
    </row>
    <row r="53" spans="1:12" x14ac:dyDescent="0.25">
      <c r="A53" t="s">
        <v>202</v>
      </c>
      <c r="B53" s="1" t="s">
        <v>106</v>
      </c>
      <c r="C53" t="s">
        <v>34</v>
      </c>
      <c r="D53" t="str">
        <f>VLOOKUP(C53,Products!$A:$B,2,FALSE)</f>
        <v>Fresh Fabric Conditioner &amp; Softener (Morning Dew)</v>
      </c>
      <c r="E53" s="1" t="s">
        <v>120</v>
      </c>
      <c r="F53" s="6">
        <v>45866</v>
      </c>
      <c r="G53" s="6">
        <v>45873</v>
      </c>
      <c r="H53" s="6">
        <v>45873</v>
      </c>
      <c r="I53">
        <v>554</v>
      </c>
      <c r="J53">
        <v>6515</v>
      </c>
      <c r="K53">
        <f t="shared" si="2"/>
        <v>0</v>
      </c>
      <c r="L53" t="str">
        <f t="shared" si="3"/>
        <v>On Time</v>
      </c>
    </row>
    <row r="54" spans="1:12" x14ac:dyDescent="0.25">
      <c r="A54" t="s">
        <v>203</v>
      </c>
      <c r="B54" s="1" t="s">
        <v>97</v>
      </c>
      <c r="C54" t="s">
        <v>74</v>
      </c>
      <c r="D54" t="str">
        <f>VLOOKUP(C54,Products!$A:$B,2,FALSE)</f>
        <v>Purely Antioxidant Pomegranate &amp; Beetroot Detox Juice</v>
      </c>
      <c r="E54" s="1" t="s">
        <v>120</v>
      </c>
      <c r="F54" s="6">
        <v>46019</v>
      </c>
      <c r="G54" s="6">
        <v>46022</v>
      </c>
      <c r="H54" s="6">
        <v>46037</v>
      </c>
      <c r="I54">
        <v>662</v>
      </c>
      <c r="J54">
        <v>6288</v>
      </c>
      <c r="K54">
        <f t="shared" si="2"/>
        <v>15</v>
      </c>
      <c r="L54" t="str">
        <f t="shared" si="3"/>
        <v>Critical Delay</v>
      </c>
    </row>
    <row r="55" spans="1:12" x14ac:dyDescent="0.25">
      <c r="A55" t="s">
        <v>204</v>
      </c>
      <c r="B55" s="1" t="s">
        <v>97</v>
      </c>
      <c r="C55" t="s">
        <v>11</v>
      </c>
      <c r="D55" t="str">
        <f>VLOOKUP(C55,Products!$A:$B,2,FALSE)</f>
        <v>Purely Apple Cider Vinegar Hair Therapy Shampoo</v>
      </c>
      <c r="E55" s="1" t="s">
        <v>122</v>
      </c>
      <c r="F55" s="6">
        <v>45891</v>
      </c>
      <c r="G55" s="6">
        <v>45898</v>
      </c>
      <c r="H55" s="6">
        <v>45912</v>
      </c>
      <c r="I55">
        <v>655</v>
      </c>
      <c r="J55">
        <v>12533</v>
      </c>
      <c r="K55">
        <f t="shared" si="2"/>
        <v>14</v>
      </c>
      <c r="L55" t="str">
        <f t="shared" si="3"/>
        <v>Critical Delay</v>
      </c>
    </row>
    <row r="56" spans="1:12" x14ac:dyDescent="0.25">
      <c r="A56" t="s">
        <v>205</v>
      </c>
      <c r="B56" s="1" t="s">
        <v>97</v>
      </c>
      <c r="C56" t="s">
        <v>70</v>
      </c>
      <c r="D56" t="str">
        <f>VLOOKUP(C56,Products!$A:$B,2,FALSE)</f>
        <v>Fresh Guava Chilli Tangy Nectar</v>
      </c>
      <c r="E56" s="1" t="s">
        <v>120</v>
      </c>
      <c r="F56" s="6">
        <v>45677</v>
      </c>
      <c r="G56" s="6">
        <v>45684</v>
      </c>
      <c r="H56" s="6">
        <v>45684</v>
      </c>
      <c r="I56">
        <v>558</v>
      </c>
      <c r="J56">
        <v>12132</v>
      </c>
      <c r="K56">
        <f t="shared" si="2"/>
        <v>0</v>
      </c>
      <c r="L56" t="str">
        <f t="shared" si="3"/>
        <v>On Time</v>
      </c>
    </row>
    <row r="57" spans="1:12" x14ac:dyDescent="0.25">
      <c r="A57" t="s">
        <v>206</v>
      </c>
      <c r="B57" s="1" t="s">
        <v>97</v>
      </c>
      <c r="C57" t="s">
        <v>68</v>
      </c>
      <c r="D57" t="str">
        <f>VLOOKUP(C57,Products!$A:$B,2,FALSE)</f>
        <v>Fresh Zesty Orange Juice with Juicy Pulp</v>
      </c>
      <c r="E57" s="1" t="s">
        <v>122</v>
      </c>
      <c r="F57" s="6">
        <v>45992</v>
      </c>
      <c r="G57" s="6">
        <v>45995</v>
      </c>
      <c r="H57" s="6">
        <v>45998</v>
      </c>
      <c r="I57">
        <v>682</v>
      </c>
      <c r="J57">
        <v>11643</v>
      </c>
      <c r="K57">
        <f t="shared" si="2"/>
        <v>3</v>
      </c>
      <c r="L57" t="str">
        <f t="shared" si="3"/>
        <v>Minor Delay</v>
      </c>
    </row>
    <row r="58" spans="1:12" x14ac:dyDescent="0.25">
      <c r="A58" t="s">
        <v>207</v>
      </c>
      <c r="B58" s="1" t="s">
        <v>112</v>
      </c>
      <c r="C58" t="s">
        <v>80</v>
      </c>
      <c r="D58" t="str">
        <f>VLOOKUP(C58,Products!$A:$B,2,FALSE)</f>
        <v>Fresh Refreshing Lemon Ice Tea Mix</v>
      </c>
      <c r="E58" s="1" t="s">
        <v>120</v>
      </c>
      <c r="F58" s="6">
        <v>45848</v>
      </c>
      <c r="G58" s="6">
        <v>45851</v>
      </c>
      <c r="H58" s="6">
        <v>45854</v>
      </c>
      <c r="I58">
        <v>631</v>
      </c>
      <c r="J58">
        <v>10541</v>
      </c>
      <c r="K58">
        <f t="shared" si="2"/>
        <v>3</v>
      </c>
      <c r="L58" t="str">
        <f t="shared" si="3"/>
        <v>Minor Delay</v>
      </c>
    </row>
    <row r="59" spans="1:12" x14ac:dyDescent="0.25">
      <c r="A59" t="s">
        <v>208</v>
      </c>
      <c r="B59" s="1" t="s">
        <v>94</v>
      </c>
      <c r="C59" t="s">
        <v>23</v>
      </c>
      <c r="D59" t="str">
        <f>VLOOKUP(C59,Products!$A:$B,2,FALSE)</f>
        <v>Fresh Rose Petal Cream Bathing Bar</v>
      </c>
      <c r="E59" s="1" t="s">
        <v>122</v>
      </c>
      <c r="F59" s="6">
        <v>45825</v>
      </c>
      <c r="G59" s="6">
        <v>45829</v>
      </c>
      <c r="H59" s="6">
        <v>45831</v>
      </c>
      <c r="I59">
        <v>688</v>
      </c>
      <c r="J59">
        <v>12327</v>
      </c>
      <c r="K59">
        <f t="shared" si="2"/>
        <v>2</v>
      </c>
      <c r="L59" t="str">
        <f t="shared" si="3"/>
        <v>Minor Delay</v>
      </c>
    </row>
    <row r="60" spans="1:12" x14ac:dyDescent="0.25">
      <c r="A60" t="s">
        <v>209</v>
      </c>
      <c r="B60" s="1" t="s">
        <v>97</v>
      </c>
      <c r="C60" t="s">
        <v>34</v>
      </c>
      <c r="D60" t="str">
        <f>VLOOKUP(C60,Products!$A:$B,2,FALSE)</f>
        <v>Fresh Fabric Conditioner &amp; Softener (Morning Dew)</v>
      </c>
      <c r="E60" s="1" t="s">
        <v>122</v>
      </c>
      <c r="F60" s="6">
        <v>45858</v>
      </c>
      <c r="G60" s="6">
        <v>45862</v>
      </c>
      <c r="H60" s="6">
        <v>45864</v>
      </c>
      <c r="I60">
        <v>565</v>
      </c>
      <c r="J60">
        <v>11501</v>
      </c>
      <c r="K60">
        <f t="shared" si="2"/>
        <v>2</v>
      </c>
      <c r="L60" t="str">
        <f t="shared" si="3"/>
        <v>Minor Delay</v>
      </c>
    </row>
    <row r="61" spans="1:12" x14ac:dyDescent="0.25">
      <c r="A61" t="s">
        <v>210</v>
      </c>
      <c r="B61" s="1" t="s">
        <v>100</v>
      </c>
      <c r="C61" t="s">
        <v>76</v>
      </c>
      <c r="D61" t="str">
        <f>VLOOKUP(C61,Products!$A:$B,2,FALSE)</f>
        <v>Fresh Strong Assam CTC Daily Chai</v>
      </c>
      <c r="E61" s="1" t="s">
        <v>118</v>
      </c>
      <c r="F61" s="6">
        <v>45855</v>
      </c>
      <c r="G61" s="6">
        <v>45861</v>
      </c>
      <c r="H61" s="6">
        <v>45861</v>
      </c>
      <c r="I61">
        <v>631</v>
      </c>
      <c r="J61">
        <v>11281</v>
      </c>
      <c r="K61">
        <f t="shared" si="2"/>
        <v>0</v>
      </c>
      <c r="L61" t="str">
        <f t="shared" si="3"/>
        <v>On Time</v>
      </c>
    </row>
    <row r="62" spans="1:12" x14ac:dyDescent="0.25">
      <c r="A62" t="s">
        <v>211</v>
      </c>
      <c r="B62" s="1" t="s">
        <v>103</v>
      </c>
      <c r="C62" t="s">
        <v>4</v>
      </c>
      <c r="D62" t="str">
        <f>VLOOKUP(C62,Products!$A:$B,2,FALSE)</f>
        <v>Fresh Anti-Dandruff Cool Mint Shampoo</v>
      </c>
      <c r="E62" s="1" t="s">
        <v>125</v>
      </c>
      <c r="F62" s="6">
        <v>45707</v>
      </c>
      <c r="G62" s="6">
        <v>45711</v>
      </c>
      <c r="H62" s="6">
        <v>45724</v>
      </c>
      <c r="I62">
        <v>548</v>
      </c>
      <c r="J62">
        <v>14637</v>
      </c>
      <c r="K62">
        <f t="shared" si="2"/>
        <v>13</v>
      </c>
      <c r="L62" t="str">
        <f t="shared" si="3"/>
        <v>Critical Delay</v>
      </c>
    </row>
    <row r="63" spans="1:12" x14ac:dyDescent="0.25">
      <c r="A63" t="s">
        <v>212</v>
      </c>
      <c r="B63" s="1" t="s">
        <v>106</v>
      </c>
      <c r="C63" t="s">
        <v>7</v>
      </c>
      <c r="D63" t="str">
        <f>VLOOKUP(C63,Products!$A:$B,2,FALSE)</f>
        <v>Fresh Smooth &amp; Shiny Daily Silky Shampoo</v>
      </c>
      <c r="E63" s="1" t="s">
        <v>120</v>
      </c>
      <c r="F63" s="6">
        <v>45673</v>
      </c>
      <c r="G63" s="6">
        <v>45679</v>
      </c>
      <c r="H63" s="6">
        <v>45686</v>
      </c>
      <c r="I63">
        <v>599</v>
      </c>
      <c r="J63">
        <v>11343</v>
      </c>
      <c r="K63">
        <f t="shared" si="2"/>
        <v>7</v>
      </c>
      <c r="L63" t="str">
        <f t="shared" si="3"/>
        <v>Major Delay</v>
      </c>
    </row>
    <row r="64" spans="1:12" x14ac:dyDescent="0.25">
      <c r="A64" t="s">
        <v>213</v>
      </c>
      <c r="B64" s="1" t="s">
        <v>97</v>
      </c>
      <c r="C64" t="s">
        <v>42</v>
      </c>
      <c r="D64" t="str">
        <f>VLOOKUP(C64,Products!$A:$B,2,FALSE)</f>
        <v>Fresh Glucose Power Biscuits (Value Pack)</v>
      </c>
      <c r="E64" s="1" t="s">
        <v>120</v>
      </c>
      <c r="F64" s="6">
        <v>45920</v>
      </c>
      <c r="G64" s="6">
        <v>45924</v>
      </c>
      <c r="H64" s="6">
        <v>45939</v>
      </c>
      <c r="I64">
        <v>500</v>
      </c>
      <c r="J64">
        <v>5281</v>
      </c>
      <c r="K64">
        <f t="shared" si="2"/>
        <v>15</v>
      </c>
      <c r="L64" t="str">
        <f t="shared" si="3"/>
        <v>Critical Delay</v>
      </c>
    </row>
    <row r="65" spans="1:12" x14ac:dyDescent="0.25">
      <c r="A65" t="s">
        <v>214</v>
      </c>
      <c r="B65" s="1" t="s">
        <v>109</v>
      </c>
      <c r="C65" t="s">
        <v>84</v>
      </c>
      <c r="D65" t="str">
        <f>VLOOKUP(C65,Products!$A:$B,2,FALSE)</f>
        <v>Purely Soothing Chamomile &amp; Lavender Herbal Tea Infusion</v>
      </c>
      <c r="E65" s="1" t="s">
        <v>122</v>
      </c>
      <c r="F65" s="6">
        <v>45662</v>
      </c>
      <c r="G65" s="6">
        <v>45668</v>
      </c>
      <c r="H65" s="6">
        <v>45668</v>
      </c>
      <c r="I65">
        <v>530</v>
      </c>
      <c r="J65">
        <v>10855</v>
      </c>
      <c r="K65">
        <f t="shared" si="2"/>
        <v>0</v>
      </c>
      <c r="L65" t="str">
        <f t="shared" si="3"/>
        <v>On Time</v>
      </c>
    </row>
    <row r="66" spans="1:12" x14ac:dyDescent="0.25">
      <c r="A66" t="s">
        <v>215</v>
      </c>
      <c r="B66" s="1" t="s">
        <v>97</v>
      </c>
      <c r="C66" t="s">
        <v>45</v>
      </c>
      <c r="D66" t="str">
        <f>VLOOKUP(C66,Products!$A:$B,2,FALSE)</f>
        <v>Fresh Crunchy Choco-Chip Cookies</v>
      </c>
      <c r="E66" s="1" t="s">
        <v>118</v>
      </c>
      <c r="F66" s="6">
        <v>46011</v>
      </c>
      <c r="G66" s="6">
        <v>46016</v>
      </c>
      <c r="H66" s="6">
        <v>46019</v>
      </c>
      <c r="I66">
        <v>613</v>
      </c>
      <c r="J66">
        <v>14681</v>
      </c>
      <c r="K66">
        <f t="shared" ref="K66:K87" si="4">H66-G66</f>
        <v>3</v>
      </c>
      <c r="L66" t="str">
        <f t="shared" ref="L66:L87" si="5">IF(K66=0,"On Time",IF(K66&lt;=5,"Minor Delay",IF(K66&lt;=10,"Major Delay","Critical Delay")))</f>
        <v>Minor Delay</v>
      </c>
    </row>
    <row r="67" spans="1:12" x14ac:dyDescent="0.25">
      <c r="A67" t="s">
        <v>216</v>
      </c>
      <c r="B67" s="1" t="s">
        <v>97</v>
      </c>
      <c r="C67" t="s">
        <v>36</v>
      </c>
      <c r="D67" t="str">
        <f>VLOOKUP(C67,Products!$A:$B,2,FALSE)</f>
        <v>Purely Plant-Based Baby Laundry Detergent (Hypoallergenic)</v>
      </c>
      <c r="E67" s="1" t="s">
        <v>122</v>
      </c>
      <c r="F67" s="6">
        <v>45699</v>
      </c>
      <c r="G67" s="6">
        <v>45706</v>
      </c>
      <c r="H67" s="6">
        <v>45710</v>
      </c>
      <c r="I67">
        <v>668</v>
      </c>
      <c r="J67">
        <v>11328</v>
      </c>
      <c r="K67">
        <f t="shared" si="4"/>
        <v>4</v>
      </c>
      <c r="L67" t="str">
        <f t="shared" si="5"/>
        <v>Minor Delay</v>
      </c>
    </row>
    <row r="68" spans="1:12" x14ac:dyDescent="0.25">
      <c r="A68" t="s">
        <v>217</v>
      </c>
      <c r="B68" s="1" t="s">
        <v>109</v>
      </c>
      <c r="C68" t="s">
        <v>86</v>
      </c>
      <c r="D68" t="str">
        <f>VLOOKUP(C68,Products!$A:$B,2,FALSE)</f>
        <v>Purely Detox Matcha Tea Powder</v>
      </c>
      <c r="E68" s="1" t="s">
        <v>118</v>
      </c>
      <c r="F68" s="6">
        <v>45756</v>
      </c>
      <c r="G68" s="6">
        <v>45759</v>
      </c>
      <c r="H68" s="6">
        <v>45760</v>
      </c>
      <c r="I68">
        <v>654</v>
      </c>
      <c r="J68">
        <v>12733</v>
      </c>
      <c r="K68">
        <f t="shared" si="4"/>
        <v>1</v>
      </c>
      <c r="L68" t="str">
        <f t="shared" si="5"/>
        <v>Minor Delay</v>
      </c>
    </row>
    <row r="69" spans="1:12" x14ac:dyDescent="0.25">
      <c r="A69" t="s">
        <v>218</v>
      </c>
      <c r="B69" s="1" t="s">
        <v>97</v>
      </c>
      <c r="C69" t="s">
        <v>63</v>
      </c>
      <c r="D69" t="str">
        <f>VLOOKUP(C69,Products!$A:$B,2,FALSE)</f>
        <v>Fresh 100% Pure Mixed Fruit Juice</v>
      </c>
      <c r="E69" s="1" t="s">
        <v>120</v>
      </c>
      <c r="F69" s="6">
        <v>45850</v>
      </c>
      <c r="G69" s="6">
        <v>45857</v>
      </c>
      <c r="H69" s="6">
        <v>45864</v>
      </c>
      <c r="I69">
        <v>505</v>
      </c>
      <c r="J69">
        <v>9500</v>
      </c>
      <c r="K69">
        <f t="shared" si="4"/>
        <v>7</v>
      </c>
      <c r="L69" t="str">
        <f t="shared" si="5"/>
        <v>Major Delay</v>
      </c>
    </row>
    <row r="70" spans="1:12" x14ac:dyDescent="0.25">
      <c r="A70" t="s">
        <v>219</v>
      </c>
      <c r="B70" s="1" t="s">
        <v>97</v>
      </c>
      <c r="C70" t="s">
        <v>21</v>
      </c>
      <c r="D70" t="str">
        <f>VLOOKUP(C70,Products!$A:$B,2,FALSE)</f>
        <v>Fresh Refreshing Lemon &amp; Neem Germ Protection Soap</v>
      </c>
      <c r="E70" s="1" t="s">
        <v>122</v>
      </c>
      <c r="F70" s="6">
        <v>45810</v>
      </c>
      <c r="G70" s="6">
        <v>45813</v>
      </c>
      <c r="H70" s="6">
        <v>45817</v>
      </c>
      <c r="I70">
        <v>602</v>
      </c>
      <c r="J70">
        <v>6575</v>
      </c>
      <c r="K70">
        <f t="shared" si="4"/>
        <v>4</v>
      </c>
      <c r="L70" t="str">
        <f t="shared" si="5"/>
        <v>Minor Delay</v>
      </c>
    </row>
    <row r="71" spans="1:12" x14ac:dyDescent="0.25">
      <c r="A71" t="s">
        <v>220</v>
      </c>
      <c r="B71" s="1" t="s">
        <v>103</v>
      </c>
      <c r="C71" t="s">
        <v>57</v>
      </c>
      <c r="D71" t="str">
        <f>VLOOKUP(C71,Products!$A:$B,2,FALSE)</f>
        <v>Fresh Crunchy Peri-Peri Corn Puffs</v>
      </c>
      <c r="E71" s="1" t="s">
        <v>120</v>
      </c>
      <c r="F71" s="6">
        <v>45997</v>
      </c>
      <c r="G71" s="6">
        <v>46001</v>
      </c>
      <c r="H71" s="6">
        <v>46009</v>
      </c>
      <c r="I71">
        <v>694</v>
      </c>
      <c r="J71">
        <v>8188</v>
      </c>
      <c r="K71">
        <f t="shared" si="4"/>
        <v>8</v>
      </c>
      <c r="L71" t="str">
        <f t="shared" si="5"/>
        <v>Major Delay</v>
      </c>
    </row>
    <row r="72" spans="1:12" x14ac:dyDescent="0.25">
      <c r="A72" t="s">
        <v>221</v>
      </c>
      <c r="B72" s="1" t="s">
        <v>97</v>
      </c>
      <c r="C72" t="s">
        <v>15</v>
      </c>
      <c r="D72" t="str">
        <f>VLOOKUP(C72,Products!$A:$B,2,FALSE)</f>
        <v>Purely Activated Charcoal Deep Cleanse Men’s Shampoo</v>
      </c>
      <c r="E72" s="1" t="s">
        <v>118</v>
      </c>
      <c r="F72" s="6">
        <v>45706</v>
      </c>
      <c r="G72" s="6">
        <v>45709</v>
      </c>
      <c r="H72" s="6">
        <v>45709</v>
      </c>
      <c r="I72">
        <v>533</v>
      </c>
      <c r="J72">
        <v>5622</v>
      </c>
      <c r="K72">
        <f t="shared" si="4"/>
        <v>0</v>
      </c>
      <c r="L72" t="str">
        <f t="shared" si="5"/>
        <v>On Time</v>
      </c>
    </row>
    <row r="73" spans="1:12" x14ac:dyDescent="0.25">
      <c r="A73" t="s">
        <v>222</v>
      </c>
      <c r="B73" s="1" t="s">
        <v>100</v>
      </c>
      <c r="C73" t="s">
        <v>21</v>
      </c>
      <c r="D73" t="str">
        <f>VLOOKUP(C73,Products!$A:$B,2,FALSE)</f>
        <v>Fresh Refreshing Lemon &amp; Neem Germ Protection Soap</v>
      </c>
      <c r="E73" s="1" t="s">
        <v>120</v>
      </c>
      <c r="F73" s="6">
        <v>45789</v>
      </c>
      <c r="G73" s="6">
        <v>45794</v>
      </c>
      <c r="H73" s="6">
        <v>45802</v>
      </c>
      <c r="I73">
        <v>596</v>
      </c>
      <c r="J73">
        <v>7828</v>
      </c>
      <c r="K73">
        <f t="shared" si="4"/>
        <v>8</v>
      </c>
      <c r="L73" t="str">
        <f t="shared" si="5"/>
        <v>Major Delay</v>
      </c>
    </row>
    <row r="74" spans="1:12" x14ac:dyDescent="0.25">
      <c r="A74" t="s">
        <v>223</v>
      </c>
      <c r="B74" s="1" t="s">
        <v>103</v>
      </c>
      <c r="C74" t="s">
        <v>68</v>
      </c>
      <c r="D74" t="str">
        <f>VLOOKUP(C74,Products!$A:$B,2,FALSE)</f>
        <v>Fresh Zesty Orange Juice with Juicy Pulp</v>
      </c>
      <c r="E74" s="1" t="s">
        <v>125</v>
      </c>
      <c r="F74" s="6">
        <v>45917</v>
      </c>
      <c r="G74" s="6">
        <v>45921</v>
      </c>
      <c r="H74" s="6">
        <v>45921</v>
      </c>
      <c r="I74">
        <v>602</v>
      </c>
      <c r="J74">
        <v>12245</v>
      </c>
      <c r="K74">
        <f t="shared" si="4"/>
        <v>0</v>
      </c>
      <c r="L74" t="str">
        <f t="shared" si="5"/>
        <v>On Time</v>
      </c>
    </row>
    <row r="75" spans="1:12" x14ac:dyDescent="0.25">
      <c r="A75" t="s">
        <v>224</v>
      </c>
      <c r="B75" s="1" t="s">
        <v>106</v>
      </c>
      <c r="C75" t="s">
        <v>66</v>
      </c>
      <c r="D75" t="str">
        <f>VLOOKUP(C75,Products!$A:$B,2,FALSE)</f>
        <v>Fresh Refreshing Alphonso Mango Drink</v>
      </c>
      <c r="E75" s="1" t="s">
        <v>122</v>
      </c>
      <c r="F75" s="6">
        <v>45775</v>
      </c>
      <c r="G75" s="6">
        <v>45782</v>
      </c>
      <c r="H75" s="6">
        <v>45782</v>
      </c>
      <c r="I75">
        <v>649</v>
      </c>
      <c r="J75">
        <v>13308</v>
      </c>
      <c r="K75">
        <f t="shared" si="4"/>
        <v>0</v>
      </c>
      <c r="L75" t="str">
        <f t="shared" si="5"/>
        <v>On Time</v>
      </c>
    </row>
    <row r="76" spans="1:12" x14ac:dyDescent="0.25">
      <c r="A76" t="s">
        <v>225</v>
      </c>
      <c r="B76" s="1" t="s">
        <v>97</v>
      </c>
      <c r="C76" t="s">
        <v>55</v>
      </c>
      <c r="D76" t="str">
        <f>VLOOKUP(C76,Products!$A:$B,2,FALSE)</f>
        <v>Fresh Tangy Tomato Masala Potato Chips</v>
      </c>
      <c r="E76" s="1" t="s">
        <v>120</v>
      </c>
      <c r="F76" s="6">
        <v>45704</v>
      </c>
      <c r="G76" s="6">
        <v>45710</v>
      </c>
      <c r="H76" s="6">
        <v>45711</v>
      </c>
      <c r="I76">
        <v>599</v>
      </c>
      <c r="J76">
        <v>11302</v>
      </c>
      <c r="K76">
        <f t="shared" si="4"/>
        <v>1</v>
      </c>
      <c r="L76" t="str">
        <f t="shared" si="5"/>
        <v>Minor Delay</v>
      </c>
    </row>
    <row r="77" spans="1:12" x14ac:dyDescent="0.25">
      <c r="A77" t="s">
        <v>226</v>
      </c>
      <c r="B77" s="1" t="s">
        <v>97</v>
      </c>
      <c r="C77" t="s">
        <v>19</v>
      </c>
      <c r="D77" t="str">
        <f>VLOOKUP(C77,Products!$A:$B,2,FALSE)</f>
        <v>Fresh Vitamin E &amp; Aloe Vera Moisturizing Bar</v>
      </c>
      <c r="E77" s="1" t="s">
        <v>122</v>
      </c>
      <c r="F77" s="6">
        <v>45941</v>
      </c>
      <c r="G77" s="6">
        <v>45945</v>
      </c>
      <c r="H77" s="6">
        <v>45954</v>
      </c>
      <c r="I77">
        <v>597</v>
      </c>
      <c r="J77">
        <v>13089</v>
      </c>
      <c r="K77">
        <f t="shared" si="4"/>
        <v>9</v>
      </c>
      <c r="L77" t="str">
        <f t="shared" si="5"/>
        <v>Major Delay</v>
      </c>
    </row>
    <row r="78" spans="1:12" x14ac:dyDescent="0.25">
      <c r="A78" t="s">
        <v>227</v>
      </c>
      <c r="B78" s="1" t="s">
        <v>109</v>
      </c>
      <c r="C78" t="s">
        <v>82</v>
      </c>
      <c r="D78" t="str">
        <f>VLOOKUP(C78,Products!$A:$B,2,FALSE)</f>
        <v>Purely Organic Himalayan Green Tea (Whole Leaf)</v>
      </c>
      <c r="E78" s="1" t="s">
        <v>120</v>
      </c>
      <c r="F78" s="6">
        <v>45684</v>
      </c>
      <c r="G78" s="6">
        <v>45690</v>
      </c>
      <c r="H78" s="6">
        <v>45702</v>
      </c>
      <c r="I78">
        <v>586</v>
      </c>
      <c r="J78">
        <v>14713</v>
      </c>
      <c r="K78">
        <f t="shared" si="4"/>
        <v>12</v>
      </c>
      <c r="L78" t="str">
        <f t="shared" si="5"/>
        <v>Critical Delay</v>
      </c>
    </row>
    <row r="79" spans="1:12" x14ac:dyDescent="0.25">
      <c r="A79" t="s">
        <v>228</v>
      </c>
      <c r="B79" s="1" t="s">
        <v>94</v>
      </c>
      <c r="C79" t="s">
        <v>55</v>
      </c>
      <c r="D79" t="str">
        <f>VLOOKUP(C79,Products!$A:$B,2,FALSE)</f>
        <v>Fresh Tangy Tomato Masala Potato Chips</v>
      </c>
      <c r="E79" s="1" t="s">
        <v>125</v>
      </c>
      <c r="F79" s="6">
        <v>45704</v>
      </c>
      <c r="G79" s="6">
        <v>45710</v>
      </c>
      <c r="H79" s="6">
        <v>45713</v>
      </c>
      <c r="I79">
        <v>671</v>
      </c>
      <c r="J79">
        <v>13173</v>
      </c>
      <c r="K79">
        <f t="shared" si="4"/>
        <v>3</v>
      </c>
      <c r="L79" t="str">
        <f t="shared" si="5"/>
        <v>Minor Delay</v>
      </c>
    </row>
    <row r="80" spans="1:12" x14ac:dyDescent="0.25">
      <c r="A80" t="s">
        <v>229</v>
      </c>
      <c r="B80" s="1" t="s">
        <v>97</v>
      </c>
      <c r="C80" t="s">
        <v>34</v>
      </c>
      <c r="D80" t="str">
        <f>VLOOKUP(C80,Products!$A:$B,2,FALSE)</f>
        <v>Fresh Fabric Conditioner &amp; Softener (Morning Dew)</v>
      </c>
      <c r="E80" s="1" t="s">
        <v>118</v>
      </c>
      <c r="F80" s="6">
        <v>45690</v>
      </c>
      <c r="G80" s="6">
        <v>45695</v>
      </c>
      <c r="H80" s="6">
        <v>45695</v>
      </c>
      <c r="I80">
        <v>692</v>
      </c>
      <c r="J80">
        <v>7732</v>
      </c>
      <c r="K80">
        <f t="shared" si="4"/>
        <v>0</v>
      </c>
      <c r="L80" t="str">
        <f t="shared" si="5"/>
        <v>On Time</v>
      </c>
    </row>
    <row r="81" spans="1:12" x14ac:dyDescent="0.25">
      <c r="A81" t="s">
        <v>230</v>
      </c>
      <c r="B81" s="1" t="s">
        <v>100</v>
      </c>
      <c r="C81" t="s">
        <v>4</v>
      </c>
      <c r="D81" t="str">
        <f>VLOOKUP(C81,Products!$A:$B,2,FALSE)</f>
        <v>Fresh Anti-Dandruff Cool Mint Shampoo</v>
      </c>
      <c r="E81" s="1" t="s">
        <v>122</v>
      </c>
      <c r="F81" s="6">
        <v>45719</v>
      </c>
      <c r="G81" s="6">
        <v>45725</v>
      </c>
      <c r="H81" s="6">
        <v>45727</v>
      </c>
      <c r="I81">
        <v>533</v>
      </c>
      <c r="J81">
        <v>13202</v>
      </c>
      <c r="K81">
        <f t="shared" si="4"/>
        <v>2</v>
      </c>
      <c r="L81" t="str">
        <f t="shared" si="5"/>
        <v>Minor Delay</v>
      </c>
    </row>
    <row r="82" spans="1:12" x14ac:dyDescent="0.25">
      <c r="A82" t="s">
        <v>231</v>
      </c>
      <c r="B82" s="1" t="s">
        <v>103</v>
      </c>
      <c r="C82" t="s">
        <v>49</v>
      </c>
      <c r="D82" t="str">
        <f>VLOOKUP(C82,Products!$A:$B,2,FALSE)</f>
        <v>Purely Almond &amp; Chia Seed Millet Oats Biscuits</v>
      </c>
      <c r="E82" s="1" t="s">
        <v>122</v>
      </c>
      <c r="F82" s="6">
        <v>45804</v>
      </c>
      <c r="G82" s="6">
        <v>45811</v>
      </c>
      <c r="H82" s="6">
        <v>45815</v>
      </c>
      <c r="I82">
        <v>514</v>
      </c>
      <c r="J82">
        <v>11802</v>
      </c>
      <c r="K82">
        <f t="shared" si="4"/>
        <v>4</v>
      </c>
      <c r="L82" t="str">
        <f t="shared" si="5"/>
        <v>Minor Delay</v>
      </c>
    </row>
    <row r="83" spans="1:12" x14ac:dyDescent="0.25">
      <c r="A83" t="s">
        <v>232</v>
      </c>
      <c r="B83" s="1" t="s">
        <v>106</v>
      </c>
      <c r="C83" t="s">
        <v>13</v>
      </c>
      <c r="D83" t="str">
        <f>VLOOKUP(C83,Products!$A:$B,2,FALSE)</f>
        <v>Purely Argan Oil &amp; Moroccan Clay Repair Shampoo</v>
      </c>
      <c r="E83" s="1" t="s">
        <v>120</v>
      </c>
      <c r="F83" s="6">
        <v>45792</v>
      </c>
      <c r="G83" s="6">
        <v>45795</v>
      </c>
      <c r="H83" s="6">
        <v>45809</v>
      </c>
      <c r="I83">
        <v>574</v>
      </c>
      <c r="J83">
        <v>12543</v>
      </c>
      <c r="K83">
        <f t="shared" si="4"/>
        <v>14</v>
      </c>
      <c r="L83" t="str">
        <f t="shared" si="5"/>
        <v>Critical Delay</v>
      </c>
    </row>
    <row r="84" spans="1:12" x14ac:dyDescent="0.25">
      <c r="A84" t="s">
        <v>233</v>
      </c>
      <c r="B84" s="1" t="s">
        <v>94</v>
      </c>
      <c r="C84" t="s">
        <v>72</v>
      </c>
      <c r="D84" t="str">
        <f>VLOOKUP(C84,Products!$A:$B,2,FALSE)</f>
        <v>Purely Cold-Pressed Green Juice (Spinach, Cucumber, Green Apple)</v>
      </c>
      <c r="E84" s="1" t="s">
        <v>118</v>
      </c>
      <c r="F84" s="6">
        <v>45706</v>
      </c>
      <c r="G84" s="6">
        <v>45712</v>
      </c>
      <c r="H84" s="6">
        <v>45726</v>
      </c>
      <c r="I84">
        <v>612</v>
      </c>
      <c r="J84">
        <v>8592</v>
      </c>
      <c r="K84">
        <f t="shared" si="4"/>
        <v>14</v>
      </c>
      <c r="L84" t="str">
        <f t="shared" si="5"/>
        <v>Critical Delay</v>
      </c>
    </row>
    <row r="85" spans="1:12" x14ac:dyDescent="0.25">
      <c r="A85" t="s">
        <v>234</v>
      </c>
      <c r="B85" s="1" t="s">
        <v>97</v>
      </c>
      <c r="C85" t="s">
        <v>13</v>
      </c>
      <c r="D85" t="str">
        <f>VLOOKUP(C85,Products!$A:$B,2,FALSE)</f>
        <v>Purely Argan Oil &amp; Moroccan Clay Repair Shampoo</v>
      </c>
      <c r="E85" s="1" t="s">
        <v>118</v>
      </c>
      <c r="F85" s="6">
        <v>45707</v>
      </c>
      <c r="G85" s="6">
        <v>45713</v>
      </c>
      <c r="H85" s="6">
        <v>45714</v>
      </c>
      <c r="I85">
        <v>699</v>
      </c>
      <c r="J85">
        <v>7014</v>
      </c>
      <c r="K85">
        <f t="shared" si="4"/>
        <v>1</v>
      </c>
      <c r="L85" t="str">
        <f t="shared" si="5"/>
        <v>Minor Delay</v>
      </c>
    </row>
    <row r="86" spans="1:12" x14ac:dyDescent="0.25">
      <c r="A86" t="s">
        <v>235</v>
      </c>
      <c r="B86" s="1" t="s">
        <v>100</v>
      </c>
      <c r="C86" t="s">
        <v>45</v>
      </c>
      <c r="D86" t="str">
        <f>VLOOKUP(C86,Products!$A:$B,2,FALSE)</f>
        <v>Fresh Crunchy Choco-Chip Cookies</v>
      </c>
      <c r="E86" s="1" t="s">
        <v>125</v>
      </c>
      <c r="F86" s="6">
        <v>45863</v>
      </c>
      <c r="G86" s="6">
        <v>45870</v>
      </c>
      <c r="H86" s="6">
        <v>45870</v>
      </c>
      <c r="I86">
        <v>535</v>
      </c>
      <c r="J86">
        <v>5624</v>
      </c>
      <c r="K86">
        <f t="shared" si="4"/>
        <v>0</v>
      </c>
      <c r="L86" t="str">
        <f t="shared" si="5"/>
        <v>On Time</v>
      </c>
    </row>
    <row r="87" spans="1:12" x14ac:dyDescent="0.25">
      <c r="A87" t="s">
        <v>236</v>
      </c>
      <c r="B87" s="1" t="s">
        <v>106</v>
      </c>
      <c r="C87" t="s">
        <v>38</v>
      </c>
      <c r="D87" t="str">
        <f>VLOOKUP(C87,Products!$A:$B,2,FALSE)</f>
        <v>Purely Eucalyptus Eco-Friendly Detergent Sheets</v>
      </c>
      <c r="E87" s="1" t="s">
        <v>118</v>
      </c>
      <c r="F87" s="6">
        <v>45811</v>
      </c>
      <c r="G87" s="6">
        <v>45817</v>
      </c>
      <c r="H87" s="6">
        <v>45828</v>
      </c>
      <c r="I87">
        <v>584</v>
      </c>
      <c r="J87">
        <v>14201</v>
      </c>
      <c r="K87">
        <f t="shared" si="4"/>
        <v>11</v>
      </c>
      <c r="L87" t="str">
        <f t="shared" si="5"/>
        <v>Critical Delay</v>
      </c>
    </row>
  </sheetData>
  <autoFilter ref="A1:L8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4"/>
  <sheetViews>
    <sheetView workbookViewId="0">
      <selection activeCell="H6" sqref="H6"/>
    </sheetView>
  </sheetViews>
  <sheetFormatPr defaultRowHeight="15" x14ac:dyDescent="0.25"/>
  <cols>
    <col min="1" max="1" width="14.5703125" bestFit="1" customWidth="1"/>
    <col min="2" max="2" width="11.42578125" bestFit="1" customWidth="1"/>
    <col min="3" max="3" width="14.140625" bestFit="1" customWidth="1"/>
    <col min="4" max="4" width="16" bestFit="1" customWidth="1"/>
    <col min="5" max="6" width="16.28515625" bestFit="1" customWidth="1"/>
  </cols>
  <sheetData>
    <row r="1" spans="1:6" s="15" customFormat="1" x14ac:dyDescent="0.25">
      <c r="A1" s="15" t="s">
        <v>237</v>
      </c>
      <c r="B1" s="15" t="s">
        <v>131</v>
      </c>
      <c r="C1" s="15" t="s">
        <v>238</v>
      </c>
      <c r="D1" s="15" t="s">
        <v>239</v>
      </c>
      <c r="E1" s="15" t="s">
        <v>240</v>
      </c>
      <c r="F1" s="15" t="s">
        <v>241</v>
      </c>
    </row>
    <row r="2" spans="1:6" x14ac:dyDescent="0.25">
      <c r="A2" t="s">
        <v>242</v>
      </c>
      <c r="B2" t="s">
        <v>4</v>
      </c>
      <c r="C2">
        <v>65</v>
      </c>
      <c r="D2">
        <v>69</v>
      </c>
      <c r="E2">
        <v>93.85</v>
      </c>
      <c r="F2">
        <v>-4</v>
      </c>
    </row>
    <row r="3" spans="1:6" x14ac:dyDescent="0.25">
      <c r="A3" t="s">
        <v>242</v>
      </c>
      <c r="B3" t="s">
        <v>42</v>
      </c>
      <c r="C3">
        <v>81</v>
      </c>
      <c r="D3">
        <v>78</v>
      </c>
      <c r="E3">
        <v>96.3</v>
      </c>
      <c r="F3">
        <v>3</v>
      </c>
    </row>
    <row r="4" spans="1:6" x14ac:dyDescent="0.25">
      <c r="A4" t="s">
        <v>242</v>
      </c>
      <c r="B4" t="s">
        <v>11</v>
      </c>
      <c r="C4">
        <v>121</v>
      </c>
      <c r="D4">
        <v>114</v>
      </c>
      <c r="E4">
        <v>94.21</v>
      </c>
      <c r="F4">
        <v>7</v>
      </c>
    </row>
    <row r="5" spans="1:6" x14ac:dyDescent="0.25">
      <c r="A5" t="s">
        <v>242</v>
      </c>
      <c r="B5" t="s">
        <v>47</v>
      </c>
      <c r="C5">
        <v>156</v>
      </c>
      <c r="D5">
        <v>166</v>
      </c>
      <c r="E5">
        <v>93.59</v>
      </c>
      <c r="F5">
        <v>-10</v>
      </c>
    </row>
    <row r="6" spans="1:6" x14ac:dyDescent="0.25">
      <c r="A6" t="s">
        <v>242</v>
      </c>
      <c r="B6" t="s">
        <v>72</v>
      </c>
      <c r="C6">
        <v>60</v>
      </c>
      <c r="D6">
        <v>61</v>
      </c>
      <c r="E6">
        <v>98.33</v>
      </c>
      <c r="F6">
        <v>-1</v>
      </c>
    </row>
    <row r="7" spans="1:6" x14ac:dyDescent="0.25">
      <c r="A7" t="s">
        <v>242</v>
      </c>
      <c r="B7" t="s">
        <v>45</v>
      </c>
      <c r="C7">
        <v>45</v>
      </c>
      <c r="D7">
        <v>43</v>
      </c>
      <c r="E7">
        <v>95.56</v>
      </c>
      <c r="F7">
        <v>2</v>
      </c>
    </row>
    <row r="8" spans="1:6" x14ac:dyDescent="0.25">
      <c r="A8" t="s">
        <v>242</v>
      </c>
      <c r="B8" t="s">
        <v>34</v>
      </c>
      <c r="C8">
        <v>137</v>
      </c>
      <c r="D8">
        <v>140</v>
      </c>
      <c r="E8">
        <v>97.81</v>
      </c>
      <c r="F8">
        <v>-3</v>
      </c>
    </row>
    <row r="9" spans="1:6" x14ac:dyDescent="0.25">
      <c r="A9" t="s">
        <v>242</v>
      </c>
      <c r="B9" t="s">
        <v>53</v>
      </c>
      <c r="C9">
        <v>397</v>
      </c>
      <c r="D9">
        <v>370</v>
      </c>
      <c r="E9">
        <v>93.2</v>
      </c>
      <c r="F9">
        <v>27</v>
      </c>
    </row>
    <row r="10" spans="1:6" x14ac:dyDescent="0.25">
      <c r="A10" t="s">
        <v>242</v>
      </c>
      <c r="B10" t="s">
        <v>51</v>
      </c>
      <c r="C10">
        <v>95</v>
      </c>
      <c r="D10">
        <v>100</v>
      </c>
      <c r="E10">
        <v>94.74</v>
      </c>
      <c r="F10">
        <v>-5</v>
      </c>
    </row>
    <row r="11" spans="1:6" x14ac:dyDescent="0.25">
      <c r="A11" t="s">
        <v>242</v>
      </c>
      <c r="B11" t="s">
        <v>19</v>
      </c>
      <c r="C11">
        <v>126</v>
      </c>
      <c r="D11">
        <v>123</v>
      </c>
      <c r="E11">
        <v>97.62</v>
      </c>
      <c r="F11">
        <v>3</v>
      </c>
    </row>
    <row r="12" spans="1:6" x14ac:dyDescent="0.25">
      <c r="A12" t="s">
        <v>242</v>
      </c>
      <c r="B12" t="s">
        <v>84</v>
      </c>
      <c r="C12">
        <v>193</v>
      </c>
      <c r="D12">
        <v>182</v>
      </c>
      <c r="E12">
        <v>94.3</v>
      </c>
      <c r="F12">
        <v>11</v>
      </c>
    </row>
    <row r="13" spans="1:6" x14ac:dyDescent="0.25">
      <c r="A13" t="s">
        <v>242</v>
      </c>
      <c r="B13" t="s">
        <v>7</v>
      </c>
      <c r="C13">
        <v>301</v>
      </c>
      <c r="D13">
        <v>297</v>
      </c>
      <c r="E13">
        <v>98.67</v>
      </c>
      <c r="F13">
        <v>4</v>
      </c>
    </row>
    <row r="14" spans="1:6" x14ac:dyDescent="0.25">
      <c r="A14" t="s">
        <v>242</v>
      </c>
      <c r="B14" t="s">
        <v>57</v>
      </c>
      <c r="C14">
        <v>325</v>
      </c>
      <c r="D14">
        <v>350</v>
      </c>
      <c r="E14">
        <v>92.31</v>
      </c>
      <c r="F14">
        <v>-25</v>
      </c>
    </row>
    <row r="15" spans="1:6" x14ac:dyDescent="0.25">
      <c r="A15" t="s">
        <v>242</v>
      </c>
      <c r="B15" t="s">
        <v>15</v>
      </c>
      <c r="C15">
        <v>137</v>
      </c>
      <c r="D15">
        <v>149</v>
      </c>
      <c r="E15">
        <v>91.24</v>
      </c>
      <c r="F15">
        <v>-12</v>
      </c>
    </row>
    <row r="16" spans="1:6" x14ac:dyDescent="0.25">
      <c r="A16" t="s">
        <v>243</v>
      </c>
      <c r="B16" t="s">
        <v>25</v>
      </c>
      <c r="C16">
        <v>176</v>
      </c>
      <c r="D16">
        <v>176</v>
      </c>
      <c r="E16">
        <v>100</v>
      </c>
      <c r="F16">
        <v>0</v>
      </c>
    </row>
    <row r="17" spans="1:6" x14ac:dyDescent="0.25">
      <c r="A17" t="s">
        <v>243</v>
      </c>
      <c r="B17" t="s">
        <v>70</v>
      </c>
      <c r="C17">
        <v>25</v>
      </c>
      <c r="D17">
        <v>26</v>
      </c>
      <c r="E17">
        <v>96</v>
      </c>
      <c r="F17">
        <v>-1</v>
      </c>
    </row>
    <row r="18" spans="1:6" x14ac:dyDescent="0.25">
      <c r="A18" t="s">
        <v>243</v>
      </c>
      <c r="B18" t="s">
        <v>59</v>
      </c>
      <c r="C18">
        <v>46</v>
      </c>
      <c r="D18">
        <v>43</v>
      </c>
      <c r="E18">
        <v>93.48</v>
      </c>
      <c r="F18">
        <v>3</v>
      </c>
    </row>
    <row r="19" spans="1:6" x14ac:dyDescent="0.25">
      <c r="A19" t="s">
        <v>243</v>
      </c>
      <c r="B19" t="s">
        <v>17</v>
      </c>
      <c r="C19">
        <v>184</v>
      </c>
      <c r="D19">
        <v>169</v>
      </c>
      <c r="E19">
        <v>91.85</v>
      </c>
      <c r="F19">
        <v>15</v>
      </c>
    </row>
    <row r="20" spans="1:6" x14ac:dyDescent="0.25">
      <c r="A20" t="s">
        <v>243</v>
      </c>
      <c r="B20" t="s">
        <v>27</v>
      </c>
      <c r="C20">
        <v>148</v>
      </c>
      <c r="D20">
        <v>156</v>
      </c>
      <c r="E20">
        <v>94.59</v>
      </c>
      <c r="F20">
        <v>-8</v>
      </c>
    </row>
    <row r="21" spans="1:6" x14ac:dyDescent="0.25">
      <c r="A21" t="s">
        <v>243</v>
      </c>
      <c r="B21" t="s">
        <v>11</v>
      </c>
      <c r="C21">
        <v>144</v>
      </c>
      <c r="D21">
        <v>140</v>
      </c>
      <c r="E21">
        <v>97.22</v>
      </c>
      <c r="F21">
        <v>4</v>
      </c>
    </row>
    <row r="22" spans="1:6" x14ac:dyDescent="0.25">
      <c r="A22" t="s">
        <v>243</v>
      </c>
      <c r="B22" t="s">
        <v>21</v>
      </c>
      <c r="C22">
        <v>125</v>
      </c>
      <c r="D22">
        <v>116</v>
      </c>
      <c r="E22">
        <v>92.8</v>
      </c>
      <c r="F22">
        <v>9</v>
      </c>
    </row>
    <row r="23" spans="1:6" x14ac:dyDescent="0.25">
      <c r="A23" t="s">
        <v>243</v>
      </c>
      <c r="B23" t="s">
        <v>32</v>
      </c>
      <c r="C23">
        <v>49</v>
      </c>
      <c r="D23">
        <v>52</v>
      </c>
      <c r="E23">
        <v>93.88</v>
      </c>
      <c r="F23">
        <v>-3</v>
      </c>
    </row>
    <row r="24" spans="1:6" x14ac:dyDescent="0.25">
      <c r="A24" t="s">
        <v>243</v>
      </c>
      <c r="B24" t="s">
        <v>23</v>
      </c>
      <c r="C24">
        <v>187</v>
      </c>
      <c r="D24">
        <v>196</v>
      </c>
      <c r="E24">
        <v>95.19</v>
      </c>
      <c r="F24">
        <v>-9</v>
      </c>
    </row>
    <row r="25" spans="1:6" x14ac:dyDescent="0.25">
      <c r="A25" t="s">
        <v>243</v>
      </c>
      <c r="B25" t="s">
        <v>13</v>
      </c>
      <c r="C25">
        <v>228</v>
      </c>
      <c r="D25">
        <v>216</v>
      </c>
      <c r="E25">
        <v>94.74</v>
      </c>
      <c r="F25">
        <v>12</v>
      </c>
    </row>
    <row r="26" spans="1:6" x14ac:dyDescent="0.25">
      <c r="A26" t="s">
        <v>243</v>
      </c>
      <c r="B26" t="s">
        <v>36</v>
      </c>
      <c r="C26">
        <v>68</v>
      </c>
      <c r="D26">
        <v>71</v>
      </c>
      <c r="E26">
        <v>95.59</v>
      </c>
      <c r="F26">
        <v>-3</v>
      </c>
    </row>
    <row r="27" spans="1:6" x14ac:dyDescent="0.25">
      <c r="A27" t="s">
        <v>243</v>
      </c>
      <c r="B27" t="s">
        <v>19</v>
      </c>
      <c r="C27">
        <v>175</v>
      </c>
      <c r="D27">
        <v>168</v>
      </c>
      <c r="E27">
        <v>96</v>
      </c>
      <c r="F27">
        <v>7</v>
      </c>
    </row>
    <row r="28" spans="1:6" x14ac:dyDescent="0.25">
      <c r="A28" t="s">
        <v>243</v>
      </c>
      <c r="B28" t="s">
        <v>84</v>
      </c>
      <c r="C28">
        <v>39</v>
      </c>
      <c r="D28">
        <v>40</v>
      </c>
      <c r="E28">
        <v>97.44</v>
      </c>
      <c r="F28">
        <v>-1</v>
      </c>
    </row>
    <row r="29" spans="1:6" x14ac:dyDescent="0.25">
      <c r="A29" t="s">
        <v>243</v>
      </c>
      <c r="B29" t="s">
        <v>15</v>
      </c>
      <c r="C29">
        <v>32</v>
      </c>
      <c r="D29">
        <v>31</v>
      </c>
      <c r="E29">
        <v>96.88</v>
      </c>
      <c r="F29">
        <v>1</v>
      </c>
    </row>
    <row r="30" spans="1:6" x14ac:dyDescent="0.25">
      <c r="A30" t="s">
        <v>243</v>
      </c>
      <c r="B30" t="s">
        <v>55</v>
      </c>
      <c r="C30">
        <v>362</v>
      </c>
      <c r="D30">
        <v>371</v>
      </c>
      <c r="E30">
        <v>97.51</v>
      </c>
      <c r="F30">
        <v>-9</v>
      </c>
    </row>
    <row r="31" spans="1:6" x14ac:dyDescent="0.25">
      <c r="A31" t="s">
        <v>244</v>
      </c>
      <c r="B31" t="s">
        <v>49</v>
      </c>
      <c r="C31">
        <v>40</v>
      </c>
      <c r="D31">
        <v>38</v>
      </c>
      <c r="E31">
        <v>95</v>
      </c>
      <c r="F31">
        <v>2</v>
      </c>
    </row>
    <row r="32" spans="1:6" x14ac:dyDescent="0.25">
      <c r="A32" t="s">
        <v>244</v>
      </c>
      <c r="B32" t="s">
        <v>59</v>
      </c>
      <c r="C32">
        <v>154</v>
      </c>
      <c r="D32">
        <v>167</v>
      </c>
      <c r="E32">
        <v>91.56</v>
      </c>
      <c r="F32">
        <v>-13</v>
      </c>
    </row>
    <row r="33" spans="1:6" x14ac:dyDescent="0.25">
      <c r="A33" t="s">
        <v>244</v>
      </c>
      <c r="B33" t="s">
        <v>17</v>
      </c>
      <c r="C33">
        <v>271</v>
      </c>
      <c r="D33">
        <v>253</v>
      </c>
      <c r="E33">
        <v>93.36</v>
      </c>
      <c r="F33">
        <v>18</v>
      </c>
    </row>
    <row r="34" spans="1:6" x14ac:dyDescent="0.25">
      <c r="A34" t="s">
        <v>244</v>
      </c>
      <c r="B34" t="s">
        <v>29</v>
      </c>
      <c r="C34">
        <v>23</v>
      </c>
      <c r="D34">
        <v>22</v>
      </c>
      <c r="E34">
        <v>95.65</v>
      </c>
      <c r="F34">
        <v>1</v>
      </c>
    </row>
    <row r="35" spans="1:6" x14ac:dyDescent="0.25">
      <c r="A35" t="s">
        <v>244</v>
      </c>
      <c r="B35" t="s">
        <v>11</v>
      </c>
      <c r="C35">
        <v>166</v>
      </c>
      <c r="D35">
        <v>179</v>
      </c>
      <c r="E35">
        <v>92.17</v>
      </c>
      <c r="F35">
        <v>-13</v>
      </c>
    </row>
    <row r="36" spans="1:6" x14ac:dyDescent="0.25">
      <c r="A36" t="s">
        <v>244</v>
      </c>
      <c r="B36" t="s">
        <v>21</v>
      </c>
      <c r="C36">
        <v>195</v>
      </c>
      <c r="D36">
        <v>196</v>
      </c>
      <c r="E36">
        <v>99.49</v>
      </c>
      <c r="F36">
        <v>-1</v>
      </c>
    </row>
    <row r="37" spans="1:6" x14ac:dyDescent="0.25">
      <c r="A37" t="s">
        <v>244</v>
      </c>
      <c r="B37" t="s">
        <v>80</v>
      </c>
      <c r="C37">
        <v>126</v>
      </c>
      <c r="D37">
        <v>122</v>
      </c>
      <c r="E37">
        <v>96.83</v>
      </c>
      <c r="F37">
        <v>4</v>
      </c>
    </row>
    <row r="38" spans="1:6" x14ac:dyDescent="0.25">
      <c r="A38" t="s">
        <v>244</v>
      </c>
      <c r="B38" t="s">
        <v>23</v>
      </c>
      <c r="C38">
        <v>143</v>
      </c>
      <c r="D38">
        <v>144</v>
      </c>
      <c r="E38">
        <v>99.3</v>
      </c>
      <c r="F38">
        <v>-1</v>
      </c>
    </row>
    <row r="39" spans="1:6" x14ac:dyDescent="0.25">
      <c r="A39" t="s">
        <v>244</v>
      </c>
      <c r="B39" t="s">
        <v>40</v>
      </c>
      <c r="C39">
        <v>119</v>
      </c>
      <c r="D39">
        <v>118</v>
      </c>
      <c r="E39">
        <v>99.16</v>
      </c>
      <c r="F39">
        <v>1</v>
      </c>
    </row>
    <row r="40" spans="1:6" x14ac:dyDescent="0.25">
      <c r="A40" t="s">
        <v>244</v>
      </c>
      <c r="B40" t="s">
        <v>66</v>
      </c>
      <c r="C40">
        <v>33</v>
      </c>
      <c r="D40">
        <v>32</v>
      </c>
      <c r="E40">
        <v>96.97</v>
      </c>
      <c r="F40">
        <v>1</v>
      </c>
    </row>
    <row r="41" spans="1:6" x14ac:dyDescent="0.25">
      <c r="A41" t="s">
        <v>244</v>
      </c>
      <c r="B41" t="s">
        <v>9</v>
      </c>
      <c r="C41">
        <v>80</v>
      </c>
      <c r="D41">
        <v>84</v>
      </c>
      <c r="E41">
        <v>95</v>
      </c>
      <c r="F41">
        <v>-4</v>
      </c>
    </row>
    <row r="42" spans="1:6" x14ac:dyDescent="0.25">
      <c r="A42" t="s">
        <v>244</v>
      </c>
      <c r="B42" t="s">
        <v>57</v>
      </c>
      <c r="C42">
        <v>21</v>
      </c>
      <c r="D42">
        <v>21</v>
      </c>
      <c r="E42">
        <v>100</v>
      </c>
      <c r="F42">
        <v>0</v>
      </c>
    </row>
    <row r="43" spans="1:6" x14ac:dyDescent="0.25">
      <c r="A43" t="s">
        <v>244</v>
      </c>
      <c r="B43" t="s">
        <v>15</v>
      </c>
      <c r="C43">
        <v>234</v>
      </c>
      <c r="D43">
        <v>229</v>
      </c>
      <c r="E43">
        <v>97.86</v>
      </c>
      <c r="F43">
        <v>5</v>
      </c>
    </row>
    <row r="44" spans="1:6" x14ac:dyDescent="0.25">
      <c r="A44" t="s">
        <v>245</v>
      </c>
      <c r="B44" t="s">
        <v>38</v>
      </c>
      <c r="C44">
        <v>170</v>
      </c>
      <c r="D44">
        <v>184</v>
      </c>
      <c r="E44">
        <v>91.76</v>
      </c>
      <c r="F44">
        <v>-14</v>
      </c>
    </row>
    <row r="45" spans="1:6" x14ac:dyDescent="0.25">
      <c r="A45" t="s">
        <v>245</v>
      </c>
      <c r="B45" t="s">
        <v>4</v>
      </c>
      <c r="C45">
        <v>352</v>
      </c>
      <c r="D45">
        <v>318</v>
      </c>
      <c r="E45">
        <v>90.34</v>
      </c>
      <c r="F45">
        <v>34</v>
      </c>
    </row>
    <row r="46" spans="1:6" x14ac:dyDescent="0.25">
      <c r="A46" t="s">
        <v>245</v>
      </c>
      <c r="B46" t="s">
        <v>27</v>
      </c>
      <c r="C46">
        <v>78</v>
      </c>
      <c r="D46">
        <v>82</v>
      </c>
      <c r="E46">
        <v>94.87</v>
      </c>
      <c r="F46">
        <v>-4</v>
      </c>
    </row>
    <row r="47" spans="1:6" x14ac:dyDescent="0.25">
      <c r="A47" t="s">
        <v>245</v>
      </c>
      <c r="B47" t="s">
        <v>29</v>
      </c>
      <c r="C47">
        <v>71</v>
      </c>
      <c r="D47">
        <v>69</v>
      </c>
      <c r="E47">
        <v>97.18</v>
      </c>
      <c r="F47">
        <v>2</v>
      </c>
    </row>
    <row r="48" spans="1:6" x14ac:dyDescent="0.25">
      <c r="A48" t="s">
        <v>245</v>
      </c>
      <c r="B48" t="s">
        <v>21</v>
      </c>
      <c r="C48">
        <v>40</v>
      </c>
      <c r="D48">
        <v>40</v>
      </c>
      <c r="E48">
        <v>100</v>
      </c>
      <c r="F48">
        <v>0</v>
      </c>
    </row>
    <row r="49" spans="1:6" x14ac:dyDescent="0.25">
      <c r="A49" t="s">
        <v>245</v>
      </c>
      <c r="B49" t="s">
        <v>80</v>
      </c>
      <c r="C49">
        <v>92</v>
      </c>
      <c r="D49">
        <v>91</v>
      </c>
      <c r="E49">
        <v>98.91</v>
      </c>
      <c r="F49">
        <v>1</v>
      </c>
    </row>
    <row r="50" spans="1:6" x14ac:dyDescent="0.25">
      <c r="A50" t="s">
        <v>245</v>
      </c>
      <c r="B50" t="s">
        <v>36</v>
      </c>
      <c r="C50">
        <v>159</v>
      </c>
      <c r="D50">
        <v>165</v>
      </c>
      <c r="E50">
        <v>96.23</v>
      </c>
      <c r="F50">
        <v>-6</v>
      </c>
    </row>
    <row r="51" spans="1:6" x14ac:dyDescent="0.25">
      <c r="A51" t="s">
        <v>245</v>
      </c>
      <c r="B51" t="s">
        <v>51</v>
      </c>
      <c r="C51">
        <v>102</v>
      </c>
      <c r="D51">
        <v>112</v>
      </c>
      <c r="E51">
        <v>90.2</v>
      </c>
      <c r="F51">
        <v>-10</v>
      </c>
    </row>
    <row r="52" spans="1:6" x14ac:dyDescent="0.25">
      <c r="A52" t="s">
        <v>245</v>
      </c>
      <c r="B52" t="s">
        <v>76</v>
      </c>
      <c r="C52">
        <v>121</v>
      </c>
      <c r="D52">
        <v>112</v>
      </c>
      <c r="E52">
        <v>92.56</v>
      </c>
      <c r="F52">
        <v>9</v>
      </c>
    </row>
    <row r="53" spans="1:6" x14ac:dyDescent="0.25">
      <c r="A53" t="s">
        <v>245</v>
      </c>
      <c r="B53" t="s">
        <v>84</v>
      </c>
      <c r="C53">
        <v>123</v>
      </c>
      <c r="D53">
        <v>128</v>
      </c>
      <c r="E53">
        <v>95.93</v>
      </c>
      <c r="F53">
        <v>-5</v>
      </c>
    </row>
    <row r="54" spans="1:6" x14ac:dyDescent="0.25">
      <c r="A54" t="s">
        <v>245</v>
      </c>
      <c r="B54" t="s">
        <v>15</v>
      </c>
      <c r="C54">
        <v>168</v>
      </c>
      <c r="D54">
        <v>167</v>
      </c>
      <c r="E54">
        <v>99.4</v>
      </c>
      <c r="F54">
        <v>1</v>
      </c>
    </row>
    <row r="55" spans="1:6" x14ac:dyDescent="0.25">
      <c r="A55" t="s">
        <v>245</v>
      </c>
      <c r="B55" t="s">
        <v>63</v>
      </c>
      <c r="C55">
        <v>296</v>
      </c>
      <c r="D55">
        <v>325</v>
      </c>
      <c r="E55">
        <v>90.2</v>
      </c>
      <c r="F55">
        <v>-29</v>
      </c>
    </row>
    <row r="56" spans="1:6" x14ac:dyDescent="0.25">
      <c r="A56" t="s">
        <v>246</v>
      </c>
      <c r="B56" t="s">
        <v>86</v>
      </c>
      <c r="C56">
        <v>196</v>
      </c>
      <c r="D56">
        <v>200</v>
      </c>
      <c r="E56">
        <v>97.96</v>
      </c>
      <c r="F56">
        <v>-4</v>
      </c>
    </row>
    <row r="57" spans="1:6" x14ac:dyDescent="0.25">
      <c r="A57" t="s">
        <v>246</v>
      </c>
      <c r="B57" t="s">
        <v>17</v>
      </c>
      <c r="C57">
        <v>85</v>
      </c>
      <c r="D57">
        <v>86</v>
      </c>
      <c r="E57">
        <v>98.82</v>
      </c>
      <c r="F57">
        <v>-1</v>
      </c>
    </row>
    <row r="58" spans="1:6" x14ac:dyDescent="0.25">
      <c r="A58" t="s">
        <v>246</v>
      </c>
      <c r="B58" t="s">
        <v>42</v>
      </c>
      <c r="C58">
        <v>57</v>
      </c>
      <c r="D58">
        <v>60</v>
      </c>
      <c r="E58">
        <v>94.74</v>
      </c>
      <c r="F58">
        <v>-3</v>
      </c>
    </row>
    <row r="59" spans="1:6" x14ac:dyDescent="0.25">
      <c r="A59" t="s">
        <v>246</v>
      </c>
      <c r="B59" t="s">
        <v>68</v>
      </c>
      <c r="C59">
        <v>110</v>
      </c>
      <c r="D59">
        <v>104</v>
      </c>
      <c r="E59">
        <v>94.55</v>
      </c>
      <c r="F59">
        <v>6</v>
      </c>
    </row>
    <row r="60" spans="1:6" x14ac:dyDescent="0.25">
      <c r="A60" t="s">
        <v>246</v>
      </c>
      <c r="B60" t="s">
        <v>21</v>
      </c>
      <c r="C60">
        <v>47</v>
      </c>
      <c r="D60">
        <v>44</v>
      </c>
      <c r="E60">
        <v>93.62</v>
      </c>
      <c r="F60">
        <v>3</v>
      </c>
    </row>
    <row r="61" spans="1:6" x14ac:dyDescent="0.25">
      <c r="A61" t="s">
        <v>246</v>
      </c>
      <c r="B61" t="s">
        <v>47</v>
      </c>
      <c r="C61">
        <v>165</v>
      </c>
      <c r="D61">
        <v>160</v>
      </c>
      <c r="E61">
        <v>96.97</v>
      </c>
      <c r="F61">
        <v>5</v>
      </c>
    </row>
    <row r="62" spans="1:6" x14ac:dyDescent="0.25">
      <c r="A62" t="s">
        <v>246</v>
      </c>
      <c r="B62" t="s">
        <v>72</v>
      </c>
      <c r="C62">
        <v>133</v>
      </c>
      <c r="D62">
        <v>129</v>
      </c>
      <c r="E62">
        <v>96.99</v>
      </c>
      <c r="F62">
        <v>4</v>
      </c>
    </row>
    <row r="63" spans="1:6" x14ac:dyDescent="0.25">
      <c r="A63" t="s">
        <v>246</v>
      </c>
      <c r="B63" t="s">
        <v>36</v>
      </c>
      <c r="C63">
        <v>233</v>
      </c>
      <c r="D63">
        <v>256</v>
      </c>
      <c r="E63">
        <v>90.13</v>
      </c>
      <c r="F63">
        <v>-23</v>
      </c>
    </row>
    <row r="64" spans="1:6" x14ac:dyDescent="0.25">
      <c r="A64" t="s">
        <v>246</v>
      </c>
      <c r="B64" t="s">
        <v>51</v>
      </c>
      <c r="C64">
        <v>177</v>
      </c>
      <c r="D64">
        <v>162</v>
      </c>
      <c r="E64">
        <v>91.53</v>
      </c>
      <c r="F64">
        <v>15</v>
      </c>
    </row>
    <row r="65" spans="1:6" x14ac:dyDescent="0.25">
      <c r="A65" t="s">
        <v>246</v>
      </c>
      <c r="B65" t="s">
        <v>66</v>
      </c>
      <c r="C65">
        <v>94</v>
      </c>
      <c r="D65">
        <v>96</v>
      </c>
      <c r="E65">
        <v>97.87</v>
      </c>
      <c r="F65">
        <v>-2</v>
      </c>
    </row>
    <row r="66" spans="1:6" x14ac:dyDescent="0.25">
      <c r="A66" t="s">
        <v>246</v>
      </c>
      <c r="B66" t="s">
        <v>57</v>
      </c>
      <c r="C66">
        <v>187</v>
      </c>
      <c r="D66">
        <v>202</v>
      </c>
      <c r="E66">
        <v>91.98</v>
      </c>
      <c r="F66">
        <v>-15</v>
      </c>
    </row>
    <row r="67" spans="1:6" x14ac:dyDescent="0.25">
      <c r="A67" t="s">
        <v>246</v>
      </c>
      <c r="B67" t="s">
        <v>15</v>
      </c>
      <c r="C67">
        <v>36</v>
      </c>
      <c r="D67">
        <v>39</v>
      </c>
      <c r="E67">
        <v>91.67</v>
      </c>
      <c r="F67">
        <v>-3</v>
      </c>
    </row>
    <row r="68" spans="1:6" x14ac:dyDescent="0.25">
      <c r="A68" t="s">
        <v>246</v>
      </c>
      <c r="B68" t="s">
        <v>63</v>
      </c>
      <c r="C68">
        <v>26</v>
      </c>
      <c r="D68">
        <v>24</v>
      </c>
      <c r="E68">
        <v>92.31</v>
      </c>
      <c r="F68">
        <v>2</v>
      </c>
    </row>
    <row r="69" spans="1:6" x14ac:dyDescent="0.25">
      <c r="A69" t="s">
        <v>247</v>
      </c>
      <c r="B69" t="s">
        <v>25</v>
      </c>
      <c r="C69">
        <v>121</v>
      </c>
      <c r="D69">
        <v>118</v>
      </c>
      <c r="E69">
        <v>97.52</v>
      </c>
      <c r="F69">
        <v>3</v>
      </c>
    </row>
    <row r="70" spans="1:6" x14ac:dyDescent="0.25">
      <c r="A70" t="s">
        <v>247</v>
      </c>
      <c r="B70" t="s">
        <v>70</v>
      </c>
      <c r="C70">
        <v>95</v>
      </c>
      <c r="D70">
        <v>99</v>
      </c>
      <c r="E70">
        <v>95.79</v>
      </c>
      <c r="F70">
        <v>-4</v>
      </c>
    </row>
    <row r="71" spans="1:6" x14ac:dyDescent="0.25">
      <c r="A71" t="s">
        <v>247</v>
      </c>
      <c r="B71" t="s">
        <v>49</v>
      </c>
      <c r="C71">
        <v>161</v>
      </c>
      <c r="D71">
        <v>164</v>
      </c>
      <c r="E71">
        <v>98.14</v>
      </c>
      <c r="F71">
        <v>-3</v>
      </c>
    </row>
    <row r="72" spans="1:6" x14ac:dyDescent="0.25">
      <c r="A72" t="s">
        <v>247</v>
      </c>
      <c r="B72" t="s">
        <v>59</v>
      </c>
      <c r="C72">
        <v>74</v>
      </c>
      <c r="D72">
        <v>68</v>
      </c>
      <c r="E72">
        <v>91.89</v>
      </c>
      <c r="F72">
        <v>6</v>
      </c>
    </row>
    <row r="73" spans="1:6" x14ac:dyDescent="0.25">
      <c r="A73" t="s">
        <v>247</v>
      </c>
      <c r="B73" t="s">
        <v>38</v>
      </c>
      <c r="C73">
        <v>199</v>
      </c>
      <c r="D73">
        <v>187</v>
      </c>
      <c r="E73">
        <v>93.97</v>
      </c>
      <c r="F73">
        <v>12</v>
      </c>
    </row>
    <row r="74" spans="1:6" x14ac:dyDescent="0.25">
      <c r="A74" t="s">
        <v>247</v>
      </c>
      <c r="B74" t="s">
        <v>4</v>
      </c>
      <c r="C74">
        <v>104</v>
      </c>
      <c r="D74">
        <v>96</v>
      </c>
      <c r="E74">
        <v>92.31</v>
      </c>
      <c r="F74">
        <v>8</v>
      </c>
    </row>
    <row r="75" spans="1:6" x14ac:dyDescent="0.25">
      <c r="A75" t="s">
        <v>247</v>
      </c>
      <c r="B75" t="s">
        <v>82</v>
      </c>
      <c r="C75">
        <v>22</v>
      </c>
      <c r="D75">
        <v>21</v>
      </c>
      <c r="E75">
        <v>95.45</v>
      </c>
      <c r="F75">
        <v>1</v>
      </c>
    </row>
    <row r="76" spans="1:6" x14ac:dyDescent="0.25">
      <c r="A76" t="s">
        <v>247</v>
      </c>
      <c r="B76" t="s">
        <v>32</v>
      </c>
      <c r="C76">
        <v>49</v>
      </c>
      <c r="D76">
        <v>50</v>
      </c>
      <c r="E76">
        <v>97.96</v>
      </c>
      <c r="F76">
        <v>-1</v>
      </c>
    </row>
    <row r="77" spans="1:6" x14ac:dyDescent="0.25">
      <c r="A77" t="s">
        <v>247</v>
      </c>
      <c r="B77" t="s">
        <v>72</v>
      </c>
      <c r="C77">
        <v>208</v>
      </c>
      <c r="D77">
        <v>226</v>
      </c>
      <c r="E77">
        <v>91.35</v>
      </c>
      <c r="F77">
        <v>-18</v>
      </c>
    </row>
    <row r="78" spans="1:6" x14ac:dyDescent="0.25">
      <c r="A78" t="s">
        <v>247</v>
      </c>
      <c r="B78" t="s">
        <v>45</v>
      </c>
      <c r="C78">
        <v>88</v>
      </c>
      <c r="D78">
        <v>86</v>
      </c>
      <c r="E78">
        <v>97.73</v>
      </c>
      <c r="F78">
        <v>2</v>
      </c>
    </row>
    <row r="79" spans="1:6" x14ac:dyDescent="0.25">
      <c r="A79" t="s">
        <v>247</v>
      </c>
      <c r="B79" t="s">
        <v>40</v>
      </c>
      <c r="C79">
        <v>174</v>
      </c>
      <c r="D79">
        <v>165</v>
      </c>
      <c r="E79">
        <v>94.83</v>
      </c>
      <c r="F79">
        <v>9</v>
      </c>
    </row>
    <row r="80" spans="1:6" x14ac:dyDescent="0.25">
      <c r="A80" t="s">
        <v>247</v>
      </c>
      <c r="B80" t="s">
        <v>53</v>
      </c>
      <c r="C80">
        <v>128</v>
      </c>
      <c r="D80">
        <v>134</v>
      </c>
      <c r="E80">
        <v>95.31</v>
      </c>
      <c r="F80">
        <v>-6</v>
      </c>
    </row>
    <row r="81" spans="1:6" x14ac:dyDescent="0.25">
      <c r="A81" t="s">
        <v>247</v>
      </c>
      <c r="B81" t="s">
        <v>51</v>
      </c>
      <c r="C81">
        <v>106</v>
      </c>
      <c r="D81">
        <v>110</v>
      </c>
      <c r="E81">
        <v>96.23</v>
      </c>
      <c r="F81">
        <v>-4</v>
      </c>
    </row>
    <row r="82" spans="1:6" x14ac:dyDescent="0.25">
      <c r="A82" t="s">
        <v>247</v>
      </c>
      <c r="B82" t="s">
        <v>66</v>
      </c>
      <c r="C82">
        <v>140</v>
      </c>
      <c r="D82">
        <v>146</v>
      </c>
      <c r="E82">
        <v>95.71</v>
      </c>
      <c r="F82">
        <v>-6</v>
      </c>
    </row>
    <row r="83" spans="1:6" x14ac:dyDescent="0.25">
      <c r="A83" t="s">
        <v>247</v>
      </c>
      <c r="B83" t="s">
        <v>76</v>
      </c>
      <c r="C83">
        <v>118</v>
      </c>
      <c r="D83">
        <v>124</v>
      </c>
      <c r="E83">
        <v>94.92</v>
      </c>
      <c r="F83">
        <v>-6</v>
      </c>
    </row>
    <row r="84" spans="1:6" x14ac:dyDescent="0.25">
      <c r="A84" t="s">
        <v>247</v>
      </c>
      <c r="B84" t="s">
        <v>84</v>
      </c>
      <c r="C84">
        <v>76</v>
      </c>
      <c r="D84">
        <v>81</v>
      </c>
      <c r="E84">
        <v>93.42</v>
      </c>
      <c r="F84">
        <v>-5</v>
      </c>
    </row>
    <row r="85" spans="1:6" x14ac:dyDescent="0.25">
      <c r="A85" t="s">
        <v>247</v>
      </c>
      <c r="B85" t="s">
        <v>7</v>
      </c>
      <c r="C85">
        <v>189</v>
      </c>
      <c r="D85">
        <v>205</v>
      </c>
      <c r="E85">
        <v>91.53</v>
      </c>
      <c r="F85">
        <v>-16</v>
      </c>
    </row>
    <row r="86" spans="1:6" x14ac:dyDescent="0.25">
      <c r="A86" t="s">
        <v>247</v>
      </c>
      <c r="B86" t="s">
        <v>57</v>
      </c>
      <c r="C86">
        <v>85</v>
      </c>
      <c r="D86">
        <v>77</v>
      </c>
      <c r="E86">
        <v>90.59</v>
      </c>
      <c r="F86">
        <v>8</v>
      </c>
    </row>
    <row r="87" spans="1:6" x14ac:dyDescent="0.25">
      <c r="A87" t="s">
        <v>247</v>
      </c>
      <c r="B87" t="s">
        <v>15</v>
      </c>
      <c r="C87">
        <v>302</v>
      </c>
      <c r="D87">
        <v>314</v>
      </c>
      <c r="E87">
        <v>96.03</v>
      </c>
      <c r="F87">
        <v>-12</v>
      </c>
    </row>
    <row r="88" spans="1:6" x14ac:dyDescent="0.25">
      <c r="A88" t="s">
        <v>247</v>
      </c>
      <c r="B88" t="s">
        <v>63</v>
      </c>
      <c r="C88">
        <v>93</v>
      </c>
      <c r="D88">
        <v>85</v>
      </c>
      <c r="E88">
        <v>91.4</v>
      </c>
      <c r="F88">
        <v>8</v>
      </c>
    </row>
    <row r="89" spans="1:6" x14ac:dyDescent="0.25">
      <c r="A89" t="s">
        <v>248</v>
      </c>
      <c r="B89" t="s">
        <v>86</v>
      </c>
      <c r="C89">
        <v>123</v>
      </c>
      <c r="D89">
        <v>113</v>
      </c>
      <c r="E89">
        <v>91.87</v>
      </c>
      <c r="F89">
        <v>10</v>
      </c>
    </row>
    <row r="90" spans="1:6" x14ac:dyDescent="0.25">
      <c r="A90" t="s">
        <v>248</v>
      </c>
      <c r="B90" t="s">
        <v>68</v>
      </c>
      <c r="C90">
        <v>175</v>
      </c>
      <c r="D90">
        <v>189</v>
      </c>
      <c r="E90">
        <v>92</v>
      </c>
      <c r="F90">
        <v>-14</v>
      </c>
    </row>
    <row r="91" spans="1:6" x14ac:dyDescent="0.25">
      <c r="A91" t="s">
        <v>248</v>
      </c>
      <c r="B91" t="s">
        <v>32</v>
      </c>
      <c r="C91">
        <v>132</v>
      </c>
      <c r="D91">
        <v>138</v>
      </c>
      <c r="E91">
        <v>95.45</v>
      </c>
      <c r="F91">
        <v>-6</v>
      </c>
    </row>
    <row r="92" spans="1:6" x14ac:dyDescent="0.25">
      <c r="A92" t="s">
        <v>248</v>
      </c>
      <c r="B92" t="s">
        <v>72</v>
      </c>
      <c r="C92">
        <v>164</v>
      </c>
      <c r="D92">
        <v>179</v>
      </c>
      <c r="E92">
        <v>90.85</v>
      </c>
      <c r="F92">
        <v>-15</v>
      </c>
    </row>
    <row r="93" spans="1:6" x14ac:dyDescent="0.25">
      <c r="A93" t="s">
        <v>248</v>
      </c>
      <c r="B93" t="s">
        <v>45</v>
      </c>
      <c r="C93">
        <v>172</v>
      </c>
      <c r="D93">
        <v>168</v>
      </c>
      <c r="E93">
        <v>97.67</v>
      </c>
      <c r="F93">
        <v>4</v>
      </c>
    </row>
    <row r="94" spans="1:6" x14ac:dyDescent="0.25">
      <c r="A94" t="s">
        <v>248</v>
      </c>
      <c r="B94" t="s">
        <v>13</v>
      </c>
      <c r="C94">
        <v>45</v>
      </c>
      <c r="D94">
        <v>45</v>
      </c>
      <c r="E94">
        <v>100</v>
      </c>
      <c r="F94">
        <v>0</v>
      </c>
    </row>
    <row r="95" spans="1:6" x14ac:dyDescent="0.25">
      <c r="A95" t="s">
        <v>248</v>
      </c>
      <c r="B95" t="s">
        <v>40</v>
      </c>
      <c r="C95">
        <v>100</v>
      </c>
      <c r="D95">
        <v>91</v>
      </c>
      <c r="E95">
        <v>91</v>
      </c>
      <c r="F95">
        <v>9</v>
      </c>
    </row>
    <row r="96" spans="1:6" x14ac:dyDescent="0.25">
      <c r="A96" t="s">
        <v>248</v>
      </c>
      <c r="B96" t="s">
        <v>53</v>
      </c>
      <c r="C96">
        <v>37</v>
      </c>
      <c r="D96">
        <v>35</v>
      </c>
      <c r="E96">
        <v>94.59</v>
      </c>
      <c r="F96">
        <v>2</v>
      </c>
    </row>
    <row r="97" spans="1:6" x14ac:dyDescent="0.25">
      <c r="A97" t="s">
        <v>248</v>
      </c>
      <c r="B97" t="s">
        <v>51</v>
      </c>
      <c r="C97">
        <v>89</v>
      </c>
      <c r="D97">
        <v>98</v>
      </c>
      <c r="E97">
        <v>89.89</v>
      </c>
      <c r="F97">
        <v>-9</v>
      </c>
    </row>
    <row r="98" spans="1:6" x14ac:dyDescent="0.25">
      <c r="A98" t="s">
        <v>248</v>
      </c>
      <c r="B98" t="s">
        <v>19</v>
      </c>
      <c r="C98">
        <v>131</v>
      </c>
      <c r="D98">
        <v>125</v>
      </c>
      <c r="E98">
        <v>95.42</v>
      </c>
      <c r="F98">
        <v>6</v>
      </c>
    </row>
    <row r="99" spans="1:6" x14ac:dyDescent="0.25">
      <c r="A99" t="s">
        <v>248</v>
      </c>
      <c r="B99" t="s">
        <v>7</v>
      </c>
      <c r="C99">
        <v>104</v>
      </c>
      <c r="D99">
        <v>112</v>
      </c>
      <c r="E99">
        <v>92.31</v>
      </c>
      <c r="F99">
        <v>-8</v>
      </c>
    </row>
    <row r="100" spans="1:6" x14ac:dyDescent="0.25">
      <c r="A100" t="s">
        <v>248</v>
      </c>
      <c r="B100" t="s">
        <v>57</v>
      </c>
      <c r="C100">
        <v>184</v>
      </c>
      <c r="D100">
        <v>176</v>
      </c>
      <c r="E100">
        <v>95.65</v>
      </c>
      <c r="F100">
        <v>8</v>
      </c>
    </row>
    <row r="101" spans="1:6" x14ac:dyDescent="0.25">
      <c r="A101" t="s">
        <v>248</v>
      </c>
      <c r="B101" t="s">
        <v>15</v>
      </c>
      <c r="C101">
        <v>161</v>
      </c>
      <c r="D101">
        <v>166</v>
      </c>
      <c r="E101">
        <v>96.89</v>
      </c>
      <c r="F101">
        <v>-5</v>
      </c>
    </row>
    <row r="102" spans="1:6" x14ac:dyDescent="0.25">
      <c r="A102" t="s">
        <v>248</v>
      </c>
      <c r="B102" t="s">
        <v>61</v>
      </c>
      <c r="C102">
        <v>111</v>
      </c>
      <c r="D102">
        <v>103</v>
      </c>
      <c r="E102">
        <v>92.79</v>
      </c>
      <c r="F102">
        <v>8</v>
      </c>
    </row>
    <row r="103" spans="1:6" x14ac:dyDescent="0.25">
      <c r="A103" t="s">
        <v>249</v>
      </c>
      <c r="B103" t="s">
        <v>4</v>
      </c>
      <c r="C103">
        <v>143</v>
      </c>
      <c r="D103">
        <v>129</v>
      </c>
      <c r="E103">
        <v>90.21</v>
      </c>
      <c r="F103">
        <v>14</v>
      </c>
    </row>
    <row r="104" spans="1:6" x14ac:dyDescent="0.25">
      <c r="A104" t="s">
        <v>249</v>
      </c>
      <c r="B104" t="s">
        <v>27</v>
      </c>
      <c r="C104">
        <v>139</v>
      </c>
      <c r="D104">
        <v>130</v>
      </c>
      <c r="E104">
        <v>93.53</v>
      </c>
      <c r="F104">
        <v>9</v>
      </c>
    </row>
    <row r="105" spans="1:6" x14ac:dyDescent="0.25">
      <c r="A105" t="s">
        <v>249</v>
      </c>
      <c r="B105" t="s">
        <v>74</v>
      </c>
      <c r="C105">
        <v>275</v>
      </c>
      <c r="D105">
        <v>301</v>
      </c>
      <c r="E105">
        <v>90.55</v>
      </c>
      <c r="F105">
        <v>-26</v>
      </c>
    </row>
    <row r="106" spans="1:6" x14ac:dyDescent="0.25">
      <c r="A106" t="s">
        <v>249</v>
      </c>
      <c r="B106" t="s">
        <v>32</v>
      </c>
      <c r="C106">
        <v>83</v>
      </c>
      <c r="D106">
        <v>87</v>
      </c>
      <c r="E106">
        <v>95.18</v>
      </c>
      <c r="F106">
        <v>-4</v>
      </c>
    </row>
    <row r="107" spans="1:6" x14ac:dyDescent="0.25">
      <c r="A107" t="s">
        <v>249</v>
      </c>
      <c r="B107" t="s">
        <v>80</v>
      </c>
      <c r="C107">
        <v>53</v>
      </c>
      <c r="D107">
        <v>48</v>
      </c>
      <c r="E107">
        <v>90.57</v>
      </c>
      <c r="F107">
        <v>5</v>
      </c>
    </row>
    <row r="108" spans="1:6" x14ac:dyDescent="0.25">
      <c r="A108" t="s">
        <v>249</v>
      </c>
      <c r="B108" t="s">
        <v>47</v>
      </c>
      <c r="C108">
        <v>144</v>
      </c>
      <c r="D108">
        <v>148</v>
      </c>
      <c r="E108">
        <v>97.22</v>
      </c>
      <c r="F108">
        <v>-4</v>
      </c>
    </row>
    <row r="109" spans="1:6" x14ac:dyDescent="0.25">
      <c r="A109" t="s">
        <v>249</v>
      </c>
      <c r="B109" t="s">
        <v>34</v>
      </c>
      <c r="C109">
        <v>136</v>
      </c>
      <c r="D109">
        <v>127</v>
      </c>
      <c r="E109">
        <v>93.38</v>
      </c>
      <c r="F109">
        <v>9</v>
      </c>
    </row>
    <row r="110" spans="1:6" x14ac:dyDescent="0.25">
      <c r="A110" t="s">
        <v>249</v>
      </c>
      <c r="B110" t="s">
        <v>40</v>
      </c>
      <c r="C110">
        <v>39</v>
      </c>
      <c r="D110">
        <v>38</v>
      </c>
      <c r="E110">
        <v>97.44</v>
      </c>
      <c r="F110">
        <v>1</v>
      </c>
    </row>
    <row r="111" spans="1:6" x14ac:dyDescent="0.25">
      <c r="A111" t="s">
        <v>249</v>
      </c>
      <c r="B111" t="s">
        <v>51</v>
      </c>
      <c r="C111">
        <v>122</v>
      </c>
      <c r="D111">
        <v>124</v>
      </c>
      <c r="E111">
        <v>98.36</v>
      </c>
      <c r="F111">
        <v>-2</v>
      </c>
    </row>
    <row r="112" spans="1:6" x14ac:dyDescent="0.25">
      <c r="A112" t="s">
        <v>249</v>
      </c>
      <c r="B112" t="s">
        <v>66</v>
      </c>
      <c r="C112">
        <v>104</v>
      </c>
      <c r="D112">
        <v>99</v>
      </c>
      <c r="E112">
        <v>95.19</v>
      </c>
      <c r="F112">
        <v>5</v>
      </c>
    </row>
    <row r="113" spans="1:6" x14ac:dyDescent="0.25">
      <c r="A113" t="s">
        <v>249</v>
      </c>
      <c r="B113" t="s">
        <v>19</v>
      </c>
      <c r="C113">
        <v>169</v>
      </c>
      <c r="D113">
        <v>161</v>
      </c>
      <c r="E113">
        <v>95.27</v>
      </c>
      <c r="F113">
        <v>8</v>
      </c>
    </row>
    <row r="114" spans="1:6" x14ac:dyDescent="0.25">
      <c r="A114" t="s">
        <v>249</v>
      </c>
      <c r="B114" t="s">
        <v>78</v>
      </c>
      <c r="C114">
        <v>137</v>
      </c>
      <c r="D114">
        <v>147</v>
      </c>
      <c r="E114">
        <v>92.7</v>
      </c>
      <c r="F114">
        <v>-10</v>
      </c>
    </row>
    <row r="115" spans="1:6" x14ac:dyDescent="0.25">
      <c r="A115" t="s">
        <v>249</v>
      </c>
      <c r="B115" t="s">
        <v>9</v>
      </c>
      <c r="C115">
        <v>129</v>
      </c>
      <c r="D115">
        <v>132</v>
      </c>
      <c r="E115">
        <v>97.67</v>
      </c>
      <c r="F115">
        <v>-3</v>
      </c>
    </row>
    <row r="116" spans="1:6" x14ac:dyDescent="0.25">
      <c r="A116" t="s">
        <v>249</v>
      </c>
      <c r="B116" t="s">
        <v>84</v>
      </c>
      <c r="C116">
        <v>145</v>
      </c>
      <c r="D116">
        <v>154</v>
      </c>
      <c r="E116">
        <v>93.79</v>
      </c>
      <c r="F116">
        <v>-9</v>
      </c>
    </row>
    <row r="117" spans="1:6" x14ac:dyDescent="0.25">
      <c r="A117" t="s">
        <v>249</v>
      </c>
      <c r="B117" t="s">
        <v>7</v>
      </c>
      <c r="C117">
        <v>537</v>
      </c>
      <c r="D117">
        <v>552</v>
      </c>
      <c r="E117">
        <v>97.21</v>
      </c>
      <c r="F117">
        <v>-15</v>
      </c>
    </row>
    <row r="118" spans="1:6" x14ac:dyDescent="0.25">
      <c r="A118" t="s">
        <v>249</v>
      </c>
      <c r="B118" t="s">
        <v>15</v>
      </c>
      <c r="C118">
        <v>78</v>
      </c>
      <c r="D118">
        <v>77</v>
      </c>
      <c r="E118">
        <v>98.72</v>
      </c>
      <c r="F118">
        <v>1</v>
      </c>
    </row>
    <row r="119" spans="1:6" x14ac:dyDescent="0.25">
      <c r="A119" t="s">
        <v>250</v>
      </c>
      <c r="B119" t="s">
        <v>25</v>
      </c>
      <c r="C119">
        <v>165</v>
      </c>
      <c r="D119">
        <v>168</v>
      </c>
      <c r="E119">
        <v>98.18</v>
      </c>
      <c r="F119">
        <v>-3</v>
      </c>
    </row>
    <row r="120" spans="1:6" x14ac:dyDescent="0.25">
      <c r="A120" t="s">
        <v>250</v>
      </c>
      <c r="B120" t="s">
        <v>49</v>
      </c>
      <c r="C120">
        <v>329</v>
      </c>
      <c r="D120">
        <v>301</v>
      </c>
      <c r="E120">
        <v>91.49</v>
      </c>
      <c r="F120">
        <v>28</v>
      </c>
    </row>
    <row r="121" spans="1:6" x14ac:dyDescent="0.25">
      <c r="A121" t="s">
        <v>250</v>
      </c>
      <c r="B121" t="s">
        <v>82</v>
      </c>
      <c r="C121">
        <v>30</v>
      </c>
      <c r="D121">
        <v>27</v>
      </c>
      <c r="E121">
        <v>90</v>
      </c>
      <c r="F121">
        <v>3</v>
      </c>
    </row>
    <row r="122" spans="1:6" x14ac:dyDescent="0.25">
      <c r="A122" t="s">
        <v>250</v>
      </c>
      <c r="B122" t="s">
        <v>47</v>
      </c>
      <c r="C122">
        <v>88</v>
      </c>
      <c r="D122">
        <v>81</v>
      </c>
      <c r="E122">
        <v>92.05</v>
      </c>
      <c r="F122">
        <v>7</v>
      </c>
    </row>
    <row r="123" spans="1:6" x14ac:dyDescent="0.25">
      <c r="A123" t="s">
        <v>250</v>
      </c>
      <c r="B123" t="s">
        <v>45</v>
      </c>
      <c r="C123">
        <v>113</v>
      </c>
      <c r="D123">
        <v>108</v>
      </c>
      <c r="E123">
        <v>95.58</v>
      </c>
      <c r="F123">
        <v>5</v>
      </c>
    </row>
    <row r="124" spans="1:6" x14ac:dyDescent="0.25">
      <c r="A124" t="s">
        <v>250</v>
      </c>
      <c r="B124" t="s">
        <v>34</v>
      </c>
      <c r="C124">
        <v>128</v>
      </c>
      <c r="D124">
        <v>121</v>
      </c>
      <c r="E124">
        <v>94.53</v>
      </c>
      <c r="F124">
        <v>7</v>
      </c>
    </row>
    <row r="125" spans="1:6" x14ac:dyDescent="0.25">
      <c r="A125" t="s">
        <v>250</v>
      </c>
      <c r="B125" t="s">
        <v>23</v>
      </c>
      <c r="C125">
        <v>109</v>
      </c>
      <c r="D125">
        <v>110</v>
      </c>
      <c r="E125">
        <v>99.08</v>
      </c>
      <c r="F125">
        <v>-1</v>
      </c>
    </row>
    <row r="126" spans="1:6" x14ac:dyDescent="0.25">
      <c r="A126" t="s">
        <v>250</v>
      </c>
      <c r="B126" t="s">
        <v>53</v>
      </c>
      <c r="C126">
        <v>156</v>
      </c>
      <c r="D126">
        <v>160</v>
      </c>
      <c r="E126">
        <v>97.44</v>
      </c>
      <c r="F126">
        <v>-4</v>
      </c>
    </row>
    <row r="127" spans="1:6" x14ac:dyDescent="0.25">
      <c r="A127" t="s">
        <v>250</v>
      </c>
      <c r="B127" t="s">
        <v>84</v>
      </c>
      <c r="C127">
        <v>40</v>
      </c>
      <c r="D127">
        <v>40</v>
      </c>
      <c r="E127">
        <v>100</v>
      </c>
      <c r="F127">
        <v>0</v>
      </c>
    </row>
    <row r="128" spans="1:6" x14ac:dyDescent="0.25">
      <c r="A128" t="s">
        <v>250</v>
      </c>
      <c r="B128" t="s">
        <v>7</v>
      </c>
      <c r="C128">
        <v>52</v>
      </c>
      <c r="D128">
        <v>54</v>
      </c>
      <c r="E128">
        <v>96.15</v>
      </c>
      <c r="F128">
        <v>-2</v>
      </c>
    </row>
    <row r="129" spans="1:6" x14ac:dyDescent="0.25">
      <c r="A129" t="s">
        <v>250</v>
      </c>
      <c r="B129" t="s">
        <v>57</v>
      </c>
      <c r="C129">
        <v>170</v>
      </c>
      <c r="D129">
        <v>179</v>
      </c>
      <c r="E129">
        <v>94.71</v>
      </c>
      <c r="F129">
        <v>-9</v>
      </c>
    </row>
    <row r="130" spans="1:6" x14ac:dyDescent="0.25">
      <c r="A130" t="s">
        <v>251</v>
      </c>
      <c r="B130" t="s">
        <v>49</v>
      </c>
      <c r="C130">
        <v>81</v>
      </c>
      <c r="D130">
        <v>74</v>
      </c>
      <c r="E130">
        <v>91.36</v>
      </c>
      <c r="F130">
        <v>7</v>
      </c>
    </row>
    <row r="131" spans="1:6" x14ac:dyDescent="0.25">
      <c r="A131" t="s">
        <v>251</v>
      </c>
      <c r="B131" t="s">
        <v>38</v>
      </c>
      <c r="C131">
        <v>63</v>
      </c>
      <c r="D131">
        <v>63</v>
      </c>
      <c r="E131">
        <v>100</v>
      </c>
      <c r="F131">
        <v>0</v>
      </c>
    </row>
    <row r="132" spans="1:6" x14ac:dyDescent="0.25">
      <c r="A132" t="s">
        <v>251</v>
      </c>
      <c r="B132" t="s">
        <v>11</v>
      </c>
      <c r="C132">
        <v>310</v>
      </c>
      <c r="D132">
        <v>287</v>
      </c>
      <c r="E132">
        <v>92.58</v>
      </c>
      <c r="F132">
        <v>23</v>
      </c>
    </row>
    <row r="133" spans="1:6" x14ac:dyDescent="0.25">
      <c r="A133" t="s">
        <v>251</v>
      </c>
      <c r="B133" t="s">
        <v>32</v>
      </c>
      <c r="C133">
        <v>171</v>
      </c>
      <c r="D133">
        <v>156</v>
      </c>
      <c r="E133">
        <v>91.23</v>
      </c>
      <c r="F133">
        <v>15</v>
      </c>
    </row>
    <row r="134" spans="1:6" x14ac:dyDescent="0.25">
      <c r="A134" t="s">
        <v>251</v>
      </c>
      <c r="B134" t="s">
        <v>45</v>
      </c>
      <c r="C134">
        <v>161</v>
      </c>
      <c r="D134">
        <v>146</v>
      </c>
      <c r="E134">
        <v>90.68</v>
      </c>
      <c r="F134">
        <v>15</v>
      </c>
    </row>
    <row r="135" spans="1:6" x14ac:dyDescent="0.25">
      <c r="A135" t="s">
        <v>251</v>
      </c>
      <c r="B135" t="s">
        <v>23</v>
      </c>
      <c r="C135">
        <v>61</v>
      </c>
      <c r="D135">
        <v>65</v>
      </c>
      <c r="E135">
        <v>93.44</v>
      </c>
      <c r="F135">
        <v>-4</v>
      </c>
    </row>
    <row r="136" spans="1:6" x14ac:dyDescent="0.25">
      <c r="A136" t="s">
        <v>251</v>
      </c>
      <c r="B136" t="s">
        <v>19</v>
      </c>
      <c r="C136">
        <v>78</v>
      </c>
      <c r="D136">
        <v>84</v>
      </c>
      <c r="E136">
        <v>92.31</v>
      </c>
      <c r="F136">
        <v>-6</v>
      </c>
    </row>
    <row r="137" spans="1:6" x14ac:dyDescent="0.25">
      <c r="A137" t="s">
        <v>251</v>
      </c>
      <c r="B137" t="s">
        <v>76</v>
      </c>
      <c r="C137">
        <v>152</v>
      </c>
      <c r="D137">
        <v>145</v>
      </c>
      <c r="E137">
        <v>95.39</v>
      </c>
      <c r="F137">
        <v>7</v>
      </c>
    </row>
    <row r="138" spans="1:6" x14ac:dyDescent="0.25">
      <c r="A138" t="s">
        <v>251</v>
      </c>
      <c r="B138" t="s">
        <v>84</v>
      </c>
      <c r="C138">
        <v>53</v>
      </c>
      <c r="D138">
        <v>52</v>
      </c>
      <c r="E138">
        <v>98.11</v>
      </c>
      <c r="F138">
        <v>1</v>
      </c>
    </row>
    <row r="139" spans="1:6" x14ac:dyDescent="0.25">
      <c r="A139" t="s">
        <v>251</v>
      </c>
      <c r="B139" t="s">
        <v>61</v>
      </c>
      <c r="C139">
        <v>105</v>
      </c>
      <c r="D139">
        <v>103</v>
      </c>
      <c r="E139">
        <v>98.1</v>
      </c>
      <c r="F139">
        <v>2</v>
      </c>
    </row>
    <row r="140" spans="1:6" x14ac:dyDescent="0.25">
      <c r="A140" t="s">
        <v>251</v>
      </c>
      <c r="B140" t="s">
        <v>55</v>
      </c>
      <c r="C140">
        <v>246</v>
      </c>
      <c r="D140">
        <v>233</v>
      </c>
      <c r="E140">
        <v>94.72</v>
      </c>
      <c r="F140">
        <v>13</v>
      </c>
    </row>
    <row r="141" spans="1:6" x14ac:dyDescent="0.25">
      <c r="A141" t="s">
        <v>252</v>
      </c>
      <c r="B141" t="s">
        <v>25</v>
      </c>
      <c r="C141">
        <v>38</v>
      </c>
      <c r="D141">
        <v>34</v>
      </c>
      <c r="E141">
        <v>89.47</v>
      </c>
      <c r="F141">
        <v>4</v>
      </c>
    </row>
    <row r="142" spans="1:6" x14ac:dyDescent="0.25">
      <c r="A142" t="s">
        <v>252</v>
      </c>
      <c r="B142" t="s">
        <v>38</v>
      </c>
      <c r="C142">
        <v>139</v>
      </c>
      <c r="D142">
        <v>147</v>
      </c>
      <c r="E142">
        <v>94.24</v>
      </c>
      <c r="F142">
        <v>-8</v>
      </c>
    </row>
    <row r="143" spans="1:6" x14ac:dyDescent="0.25">
      <c r="A143" t="s">
        <v>252</v>
      </c>
      <c r="B143" t="s">
        <v>17</v>
      </c>
      <c r="C143">
        <v>56</v>
      </c>
      <c r="D143">
        <v>54</v>
      </c>
      <c r="E143">
        <v>96.43</v>
      </c>
      <c r="F143">
        <v>2</v>
      </c>
    </row>
    <row r="144" spans="1:6" x14ac:dyDescent="0.25">
      <c r="A144" t="s">
        <v>252</v>
      </c>
      <c r="B144" t="s">
        <v>29</v>
      </c>
      <c r="C144">
        <v>290</v>
      </c>
      <c r="D144">
        <v>296</v>
      </c>
      <c r="E144">
        <v>97.93</v>
      </c>
      <c r="F144">
        <v>-6</v>
      </c>
    </row>
    <row r="145" spans="1:6" x14ac:dyDescent="0.25">
      <c r="A145" t="s">
        <v>252</v>
      </c>
      <c r="B145" t="s">
        <v>82</v>
      </c>
      <c r="C145">
        <v>166</v>
      </c>
      <c r="D145">
        <v>172</v>
      </c>
      <c r="E145">
        <v>96.39</v>
      </c>
      <c r="F145">
        <v>-6</v>
      </c>
    </row>
    <row r="146" spans="1:6" x14ac:dyDescent="0.25">
      <c r="A146" t="s">
        <v>252</v>
      </c>
      <c r="B146" t="s">
        <v>72</v>
      </c>
      <c r="C146">
        <v>115</v>
      </c>
      <c r="D146">
        <v>104</v>
      </c>
      <c r="E146">
        <v>90.43</v>
      </c>
      <c r="F146">
        <v>11</v>
      </c>
    </row>
    <row r="147" spans="1:6" x14ac:dyDescent="0.25">
      <c r="A147" t="s">
        <v>252</v>
      </c>
      <c r="B147" t="s">
        <v>34</v>
      </c>
      <c r="C147">
        <v>31</v>
      </c>
      <c r="D147">
        <v>31</v>
      </c>
      <c r="E147">
        <v>100</v>
      </c>
      <c r="F147">
        <v>0</v>
      </c>
    </row>
    <row r="148" spans="1:6" x14ac:dyDescent="0.25">
      <c r="A148" t="s">
        <v>252</v>
      </c>
      <c r="B148" t="s">
        <v>23</v>
      </c>
      <c r="C148">
        <v>152</v>
      </c>
      <c r="D148">
        <v>165</v>
      </c>
      <c r="E148">
        <v>91.45</v>
      </c>
      <c r="F148">
        <v>-13</v>
      </c>
    </row>
    <row r="149" spans="1:6" x14ac:dyDescent="0.25">
      <c r="A149" t="s">
        <v>252</v>
      </c>
      <c r="B149" t="s">
        <v>13</v>
      </c>
      <c r="C149">
        <v>45</v>
      </c>
      <c r="D149">
        <v>44</v>
      </c>
      <c r="E149">
        <v>97.78</v>
      </c>
      <c r="F149">
        <v>1</v>
      </c>
    </row>
    <row r="150" spans="1:6" x14ac:dyDescent="0.25">
      <c r="A150" t="s">
        <v>252</v>
      </c>
      <c r="B150" t="s">
        <v>9</v>
      </c>
      <c r="C150">
        <v>200</v>
      </c>
      <c r="D150">
        <v>191</v>
      </c>
      <c r="E150">
        <v>95.5</v>
      </c>
      <c r="F150">
        <v>9</v>
      </c>
    </row>
    <row r="151" spans="1:6" x14ac:dyDescent="0.25">
      <c r="A151" t="s">
        <v>252</v>
      </c>
      <c r="B151" t="s">
        <v>84</v>
      </c>
      <c r="C151">
        <v>160</v>
      </c>
      <c r="D151">
        <v>147</v>
      </c>
      <c r="E151">
        <v>91.88</v>
      </c>
      <c r="F151">
        <v>13</v>
      </c>
    </row>
    <row r="152" spans="1:6" x14ac:dyDescent="0.25">
      <c r="A152" t="s">
        <v>252</v>
      </c>
      <c r="B152" t="s">
        <v>15</v>
      </c>
      <c r="C152">
        <v>214</v>
      </c>
      <c r="D152">
        <v>228</v>
      </c>
      <c r="E152">
        <v>93.46</v>
      </c>
      <c r="F152">
        <v>-14</v>
      </c>
    </row>
    <row r="153" spans="1:6" x14ac:dyDescent="0.25">
      <c r="A153" t="s">
        <v>252</v>
      </c>
      <c r="B153" t="s">
        <v>61</v>
      </c>
      <c r="C153">
        <v>115</v>
      </c>
      <c r="D153">
        <v>113</v>
      </c>
      <c r="E153">
        <v>98.26</v>
      </c>
      <c r="F153">
        <v>2</v>
      </c>
    </row>
    <row r="154" spans="1:6" x14ac:dyDescent="0.25">
      <c r="A154" t="s">
        <v>253</v>
      </c>
      <c r="B154" t="s">
        <v>86</v>
      </c>
      <c r="C154">
        <v>167</v>
      </c>
      <c r="D154">
        <v>170</v>
      </c>
      <c r="E154">
        <v>98.2</v>
      </c>
      <c r="F154">
        <v>-3</v>
      </c>
    </row>
    <row r="155" spans="1:6" x14ac:dyDescent="0.25">
      <c r="A155" t="s">
        <v>253</v>
      </c>
      <c r="B155" t="s">
        <v>25</v>
      </c>
      <c r="C155">
        <v>125</v>
      </c>
      <c r="D155">
        <v>128</v>
      </c>
      <c r="E155">
        <v>97.6</v>
      </c>
      <c r="F155">
        <v>-3</v>
      </c>
    </row>
    <row r="156" spans="1:6" x14ac:dyDescent="0.25">
      <c r="A156" t="s">
        <v>253</v>
      </c>
      <c r="B156" t="s">
        <v>70</v>
      </c>
      <c r="C156">
        <v>40</v>
      </c>
      <c r="D156">
        <v>40</v>
      </c>
      <c r="E156">
        <v>100</v>
      </c>
      <c r="F156">
        <v>0</v>
      </c>
    </row>
    <row r="157" spans="1:6" x14ac:dyDescent="0.25">
      <c r="A157" t="s">
        <v>253</v>
      </c>
      <c r="B157" t="s">
        <v>27</v>
      </c>
      <c r="C157">
        <v>48</v>
      </c>
      <c r="D157">
        <v>51</v>
      </c>
      <c r="E157">
        <v>93.75</v>
      </c>
      <c r="F157">
        <v>-3</v>
      </c>
    </row>
    <row r="158" spans="1:6" x14ac:dyDescent="0.25">
      <c r="A158" t="s">
        <v>253</v>
      </c>
      <c r="B158" t="s">
        <v>42</v>
      </c>
      <c r="C158">
        <v>134</v>
      </c>
      <c r="D158">
        <v>130</v>
      </c>
      <c r="E158">
        <v>97.01</v>
      </c>
      <c r="F158">
        <v>4</v>
      </c>
    </row>
    <row r="159" spans="1:6" x14ac:dyDescent="0.25">
      <c r="A159" t="s">
        <v>253</v>
      </c>
      <c r="B159" t="s">
        <v>80</v>
      </c>
      <c r="C159">
        <v>293</v>
      </c>
      <c r="D159">
        <v>310</v>
      </c>
      <c r="E159">
        <v>94.2</v>
      </c>
      <c r="F159">
        <v>-17</v>
      </c>
    </row>
    <row r="160" spans="1:6" x14ac:dyDescent="0.25">
      <c r="A160" t="s">
        <v>253</v>
      </c>
      <c r="B160" t="s">
        <v>51</v>
      </c>
      <c r="C160">
        <v>107</v>
      </c>
      <c r="D160">
        <v>113</v>
      </c>
      <c r="E160">
        <v>94.39</v>
      </c>
      <c r="F160">
        <v>-6</v>
      </c>
    </row>
    <row r="161" spans="1:6" x14ac:dyDescent="0.25">
      <c r="A161" t="s">
        <v>253</v>
      </c>
      <c r="B161" t="s">
        <v>78</v>
      </c>
      <c r="C161">
        <v>199</v>
      </c>
      <c r="D161">
        <v>200</v>
      </c>
      <c r="E161">
        <v>99.5</v>
      </c>
      <c r="F161">
        <v>-1</v>
      </c>
    </row>
    <row r="162" spans="1:6" x14ac:dyDescent="0.25">
      <c r="A162" t="s">
        <v>253</v>
      </c>
      <c r="B162" t="s">
        <v>84</v>
      </c>
      <c r="C162">
        <v>37</v>
      </c>
      <c r="D162">
        <v>38</v>
      </c>
      <c r="E162">
        <v>97.3</v>
      </c>
      <c r="F162">
        <v>-1</v>
      </c>
    </row>
    <row r="163" spans="1:6" x14ac:dyDescent="0.25">
      <c r="A163" t="s">
        <v>253</v>
      </c>
      <c r="B163" t="s">
        <v>7</v>
      </c>
      <c r="C163">
        <v>25</v>
      </c>
      <c r="D163">
        <v>24</v>
      </c>
      <c r="E163">
        <v>96</v>
      </c>
      <c r="F163">
        <v>1</v>
      </c>
    </row>
    <row r="164" spans="1:6" x14ac:dyDescent="0.25">
      <c r="A164" t="s">
        <v>253</v>
      </c>
      <c r="B164" t="s">
        <v>15</v>
      </c>
      <c r="C164">
        <v>253</v>
      </c>
      <c r="D164">
        <v>250</v>
      </c>
      <c r="E164">
        <v>98.81</v>
      </c>
      <c r="F16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17" sqref="C17"/>
    </sheetView>
  </sheetViews>
  <sheetFormatPr defaultRowHeight="15" x14ac:dyDescent="0.25"/>
  <cols>
    <col min="1" max="1" width="24" bestFit="1" customWidth="1"/>
  </cols>
  <sheetData>
    <row r="1" spans="1:7" x14ac:dyDescent="0.25">
      <c r="A1" s="15" t="s">
        <v>255</v>
      </c>
      <c r="B1" s="15" t="s">
        <v>256</v>
      </c>
      <c r="C1" s="15" t="s">
        <v>257</v>
      </c>
    </row>
    <row r="2" spans="1:7" x14ac:dyDescent="0.25">
      <c r="A2" t="s">
        <v>254</v>
      </c>
      <c r="B2">
        <f>SUM(Orders!I:I)</f>
        <v>4637350</v>
      </c>
      <c r="C2" t="s">
        <v>275</v>
      </c>
    </row>
    <row r="3" spans="1:7" x14ac:dyDescent="0.25">
      <c r="A3" t="s">
        <v>258</v>
      </c>
      <c r="B3">
        <f ca="1">COUNTA(Orders!A2:A205)</f>
        <v>204</v>
      </c>
      <c r="C3" t="s">
        <v>275</v>
      </c>
    </row>
    <row r="4" spans="1:7" x14ac:dyDescent="0.25">
      <c r="A4" t="s">
        <v>259</v>
      </c>
      <c r="B4">
        <f ca="1">B2/B3</f>
        <v>22732.107843137255</v>
      </c>
      <c r="C4" t="s">
        <v>275</v>
      </c>
    </row>
    <row r="5" spans="1:7" x14ac:dyDescent="0.25">
      <c r="A5" t="s">
        <v>260</v>
      </c>
      <c r="B5" s="16">
        <f ca="1">COUNTIF(Orders!J:J,"Delivered")/(COUNTA(Orders!A:A)-1)</f>
        <v>0.49019607843137253</v>
      </c>
      <c r="C5" t="str">
        <f ca="1">IF(B5&gt;=95%,"Good",IF(B5&gt;=85%,"Warning","Critical"))</f>
        <v>Critical</v>
      </c>
    </row>
    <row r="6" spans="1:7" x14ac:dyDescent="0.25">
      <c r="A6" t="s">
        <v>261</v>
      </c>
      <c r="B6" s="16">
        <f ca="1">COUNTIF(Orders!J:J,"Delayed")/(COUNTA(Orders!A:A)-1)</f>
        <v>0.50980392156862742</v>
      </c>
      <c r="C6" t="str">
        <f ca="1">IF(B6&lt;=5%,"Good",IF(B6&lt;=15%,"Warning","Critical"))</f>
        <v>Critical</v>
      </c>
    </row>
    <row r="7" spans="1:7" s="8" customFormat="1" x14ac:dyDescent="0.25">
      <c r="A7" s="8" t="s">
        <v>270</v>
      </c>
      <c r="B7">
        <f>COUNTA(Shipments!A:A)-1</f>
        <v>86</v>
      </c>
      <c r="C7" t="s">
        <v>275</v>
      </c>
    </row>
    <row r="8" spans="1:7" s="8" customFormat="1" x14ac:dyDescent="0.25">
      <c r="A8" s="8" t="s">
        <v>266</v>
      </c>
      <c r="B8" s="16">
        <f>COUNTIF(Shipments!L:L,"On Time")/$B$7</f>
        <v>0.36046511627906974</v>
      </c>
      <c r="C8" t="str">
        <f>IF(B8&gt;=90%,"Good",IF(B8&gt;=75%,"Warning","Critical"))</f>
        <v>Critical</v>
      </c>
    </row>
    <row r="9" spans="1:7" s="8" customFormat="1" x14ac:dyDescent="0.25">
      <c r="A9" s="8" t="s">
        <v>267</v>
      </c>
      <c r="B9" s="16">
        <f>COUNTIF(Shipments!L:L,"Minor Delay")/$B$7</f>
        <v>0.30232558139534882</v>
      </c>
      <c r="C9" t="str">
        <f>IF(B9&lt;=10%,"Good",IF(B9&lt;=25%,"Warning","Critical"))</f>
        <v>Critical</v>
      </c>
      <c r="G9" s="15"/>
    </row>
    <row r="10" spans="1:7" s="8" customFormat="1" x14ac:dyDescent="0.25">
      <c r="A10" s="8" t="s">
        <v>268</v>
      </c>
      <c r="B10" s="16">
        <f>COUNTIF(Shipments!L:L,"Major Delay")/$B$7</f>
        <v>0.16279069767441862</v>
      </c>
      <c r="C10" t="str">
        <f>IF(B10&lt;=5%,"Good",IF(B10&lt;=10%,"Warning","Critical"))</f>
        <v>Critical</v>
      </c>
    </row>
    <row r="11" spans="1:7" x14ac:dyDescent="0.25">
      <c r="A11" s="8" t="s">
        <v>269</v>
      </c>
      <c r="B11" s="16">
        <f>COUNTIF(Shipments!L:L,"Critical Delay")/$B$7</f>
        <v>0.1744186046511628</v>
      </c>
      <c r="C11" t="str">
        <f>IF(B11&lt;=2%,"Good",IF(B11&lt;=5%,"Warning","Critical"))</f>
        <v>Critical</v>
      </c>
    </row>
    <row r="12" spans="1:7" x14ac:dyDescent="0.25">
      <c r="A12" t="s">
        <v>262</v>
      </c>
      <c r="B12">
        <f>AVERAGE(Forecast!E:E)</f>
        <v>95.070736196319018</v>
      </c>
      <c r="C12" t="str">
        <f>IF(B12&gt;=90,"Good",IF(B12&gt;=80,"Warning","Critical"))</f>
        <v>Good</v>
      </c>
    </row>
    <row r="13" spans="1:7" x14ac:dyDescent="0.25">
      <c r="A13" t="s">
        <v>263</v>
      </c>
      <c r="B13">
        <f>SUM(Inventory!G:G)</f>
        <v>13777346.799999999</v>
      </c>
      <c r="C13" t="s">
        <v>274</v>
      </c>
    </row>
    <row r="14" spans="1:7" x14ac:dyDescent="0.25">
      <c r="A14" t="s">
        <v>264</v>
      </c>
      <c r="B14">
        <f>COUNTIF(Inventory!H:H,"High Risk")</f>
        <v>58</v>
      </c>
      <c r="C14" t="str">
        <f>IF(B14&lt;=5,"Good",IF(B14&lt;=15,"Warning","Critical"))</f>
        <v>Critical</v>
      </c>
    </row>
    <row r="15" spans="1:7" x14ac:dyDescent="0.25">
      <c r="A15" t="s">
        <v>265</v>
      </c>
      <c r="B15" s="16">
        <f>COUNTIF(Inventory!H:H,"High Risk")/(COUNTA(Inventory!A:A)-1)</f>
        <v>0.38926174496644295</v>
      </c>
      <c r="C15" t="str">
        <f>IF(B15&lt;=5%,"Good",IF(B15&lt;=10%,"Warning","Critical"))</f>
        <v>Critical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Suppliers</vt:lpstr>
      <vt:lpstr>Warehouses</vt:lpstr>
      <vt:lpstr>Orders</vt:lpstr>
      <vt:lpstr>Inventory</vt:lpstr>
      <vt:lpstr>Shipments</vt:lpstr>
      <vt:lpstr>Forecast</vt:lpstr>
      <vt:lpstr>KPI Calculations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 C S</dc:creator>
  <cp:lastModifiedBy>MSN C S</cp:lastModifiedBy>
  <dcterms:created xsi:type="dcterms:W3CDTF">2026-05-29T09:47:50Z</dcterms:created>
  <dcterms:modified xsi:type="dcterms:W3CDTF">2026-06-06T16:01:45Z</dcterms:modified>
</cp:coreProperties>
</file>